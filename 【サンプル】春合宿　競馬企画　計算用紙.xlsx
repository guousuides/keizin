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仮オッズ" sheetId="1" r:id="rId5"/>
    <sheet state="visible" name="①の計算式" sheetId="2" r:id="rId6"/>
    <sheet state="visible" name="A馬券購入" sheetId="3" r:id="rId7"/>
    <sheet state="visible" name="②の計算式" sheetId="4" r:id="rId8"/>
    <sheet state="visible" name="B馬券購入" sheetId="5" r:id="rId9"/>
    <sheet state="visible" name="③の計算式" sheetId="6" r:id="rId10"/>
    <sheet state="visible" name="C馬券購入" sheetId="7" r:id="rId11"/>
    <sheet state="visible" name="④の計算式" sheetId="8" r:id="rId12"/>
    <sheet state="visible" name="D馬券購入" sheetId="9" r:id="rId13"/>
    <sheet state="visible" name="⑤の計算式" sheetId="10" r:id="rId14"/>
    <sheet state="visible" name="E馬券購入" sheetId="11" r:id="rId15"/>
    <sheet state="visible" name="⑥の計算式" sheetId="12" r:id="rId16"/>
    <sheet state="visible" name="F馬券購入" sheetId="13" r:id="rId17"/>
  </sheets>
  <definedNames>
    <definedName localSheetId="9" name="複勝">'⑤の計算式'!$E$3:$F$8</definedName>
    <definedName localSheetId="3" name="単勝">'②の計算式'!$B$3:$C$8</definedName>
    <definedName localSheetId="5" name="単勝">'③の計算式'!$B$3:$C$8</definedName>
    <definedName localSheetId="7" name="単勝">'④の計算式'!$B$3:$C$8</definedName>
    <definedName localSheetId="5" name="複勝">'③の計算式'!$E$3:$F$8</definedName>
    <definedName localSheetId="7" name="複勝">'④の計算式'!$E$3:$F$8</definedName>
    <definedName name="単勝">'①の計算式'!$B$3:$C$8</definedName>
    <definedName localSheetId="11" name="単勝">'⑥の計算式'!$B$3:$C$8</definedName>
    <definedName localSheetId="11" name="複勝">'⑥の計算式'!$E$3:$F$8</definedName>
    <definedName localSheetId="3" name="複勝">'②の計算式'!$E$3:$F$8</definedName>
    <definedName name="複勝">'①の計算式'!$E$3:$F$8</definedName>
    <definedName localSheetId="9" name="単勝">'⑤の計算式'!$B$3:$C$8</definedName>
    <definedName name="結果">'仮オッズ'!$A$17:$B$22</definedName>
  </definedNames>
  <calcPr/>
</workbook>
</file>

<file path=xl/sharedStrings.xml><?xml version="1.0" encoding="utf-8"?>
<sst xmlns="http://schemas.openxmlformats.org/spreadsheetml/2006/main" count="523" uniqueCount="58">
  <si>
    <t>xが1着になる確率</t>
  </si>
  <si>
    <t>券種</t>
  </si>
  <si>
    <t>名前</t>
  </si>
  <si>
    <t>単勝</t>
  </si>
  <si>
    <t>複勝</t>
  </si>
  <si>
    <t>ポイント</t>
  </si>
  <si>
    <t>三連</t>
  </si>
  <si>
    <t>単勝オッズ</t>
  </si>
  <si>
    <t>p(x)</t>
  </si>
  <si>
    <t>ゆーや</t>
  </si>
  <si>
    <t>賭ける人</t>
  </si>
  <si>
    <t>賭けPt</t>
  </si>
  <si>
    <t>オッズ</t>
  </si>
  <si>
    <t>的・不的</t>
  </si>
  <si>
    <t>合計賭け金</t>
  </si>
  <si>
    <t>たいよう</t>
  </si>
  <si>
    <t>はせりょー</t>
  </si>
  <si>
    <t>みわ</t>
  </si>
  <si>
    <t>こーた</t>
  </si>
  <si>
    <t>いずみ</t>
  </si>
  <si>
    <t>未選択</t>
  </si>
  <si>
    <t>単勝係数</t>
  </si>
  <si>
    <t>複勝係数</t>
  </si>
  <si>
    <t>結果</t>
  </si>
  <si>
    <t>一着</t>
  </si>
  <si>
    <t>二着</t>
  </si>
  <si>
    <t>三着</t>
  </si>
  <si>
    <t>四着</t>
  </si>
  <si>
    <t>五着</t>
  </si>
  <si>
    <t>六着</t>
  </si>
  <si>
    <t>3列目</t>
  </si>
  <si>
    <t>三連単</t>
  </si>
  <si>
    <t>まりん</t>
  </si>
  <si>
    <t>払い戻し金</t>
  </si>
  <si>
    <t>あんじゅ</t>
  </si>
  <si>
    <t>DDD</t>
  </si>
  <si>
    <t>収支</t>
  </si>
  <si>
    <t>三連複</t>
  </si>
  <si>
    <t>平川</t>
  </si>
  <si>
    <t>あおい</t>
  </si>
  <si>
    <t>TOKI</t>
  </si>
  <si>
    <t>計算した値</t>
  </si>
  <si>
    <t>1.1の調整</t>
  </si>
  <si>
    <t>表示する値</t>
  </si>
  <si>
    <t>4列目</t>
  </si>
  <si>
    <t>４列目</t>
  </si>
  <si>
    <t>５列目</t>
  </si>
  <si>
    <t>６列目</t>
  </si>
  <si>
    <t>7列目</t>
  </si>
  <si>
    <t>5列目</t>
  </si>
  <si>
    <t>３列目</t>
  </si>
  <si>
    <t>単勝の時</t>
  </si>
  <si>
    <t>三連単の時</t>
  </si>
  <si>
    <t>複勝のとき</t>
  </si>
  <si>
    <t>三連複のとき</t>
  </si>
  <si>
    <t>当選金額</t>
  </si>
  <si>
    <t>合計金額</t>
  </si>
  <si>
    <t>きょうか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</si>
</sst>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13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0" fillId="3" fontId="1" numFmtId="0" xfId="0" applyAlignment="1" applyFill="1" applyFont="1">
      <alignment readingOrder="0"/>
    </xf>
    <xf borderId="2" fillId="2" fontId="2" numFmtId="0" xfId="0" applyAlignment="1" applyBorder="1" applyFont="1">
      <alignment horizontal="center" readingOrder="0"/>
    </xf>
    <xf borderId="3" fillId="0" fontId="3" numFmtId="0" xfId="0" applyBorder="1" applyFont="1"/>
    <xf borderId="0" fillId="0" fontId="1" numFmtId="0" xfId="0" applyFont="1"/>
    <xf borderId="4" fillId="0" fontId="3" numFmtId="0" xfId="0" applyBorder="1" applyFont="1"/>
    <xf borderId="0" fillId="0" fontId="1" numFmtId="2" xfId="0" applyFont="1" applyNumberFormat="1"/>
    <xf borderId="0" fillId="0" fontId="2" numFmtId="0" xfId="0" applyFont="1"/>
    <xf borderId="0" fillId="0" fontId="1" numFmtId="2" xfId="0" applyAlignment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2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5" fillId="0" fontId="1" numFmtId="0" xfId="0" applyAlignment="1" applyBorder="1" applyFont="1">
      <alignment readingOrder="0"/>
    </xf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" fillId="4" fontId="2" numFmtId="0" xfId="0" applyAlignment="1" applyBorder="1" applyFill="1" applyFont="1">
      <alignment horizontal="center" readingOrder="0"/>
    </xf>
    <xf borderId="1" fillId="0" fontId="2" numFmtId="1" xfId="0" applyAlignment="1" applyBorder="1" applyFont="1" applyNumberFormat="1">
      <alignment horizontal="center"/>
    </xf>
    <xf borderId="0" fillId="5" fontId="1" numFmtId="0" xfId="0" applyFill="1" applyFont="1"/>
    <xf borderId="10" fillId="0" fontId="1" numFmtId="0" xfId="0" applyBorder="1" applyFont="1"/>
    <xf borderId="11" fillId="0" fontId="1" numFmtId="0" xfId="0" applyBorder="1" applyFont="1"/>
    <xf borderId="12" fillId="0" fontId="1" numFmtId="0" xfId="0" applyBorder="1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0" fillId="0" fontId="1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  <c r="D1" s="1" t="s">
        <v>7</v>
      </c>
    </row>
    <row r="2">
      <c r="A2" s="3" t="s">
        <v>9</v>
      </c>
      <c r="B2" s="3">
        <v>19.0</v>
      </c>
      <c r="D2" s="10">
        <f>SUM(B2:B7)/B2*A13</f>
        <v>2.105263158</v>
      </c>
    </row>
    <row r="3">
      <c r="A3" s="3" t="s">
        <v>15</v>
      </c>
      <c r="B3" s="3">
        <v>17.0</v>
      </c>
      <c r="D3" s="10">
        <f>SUM(B2:B7)/B3*A13</f>
        <v>2.352941176</v>
      </c>
    </row>
    <row r="4">
      <c r="A4" s="3" t="s">
        <v>16</v>
      </c>
      <c r="B4" s="3">
        <v>7.0</v>
      </c>
      <c r="D4" s="10">
        <f>SUM(B2:B7)/B4*A13</f>
        <v>5.714285714</v>
      </c>
    </row>
    <row r="5">
      <c r="A5" s="3" t="s">
        <v>17</v>
      </c>
      <c r="B5" s="3">
        <v>3.0</v>
      </c>
      <c r="D5" s="10">
        <f>SUM(B2:B7)/B5*A13</f>
        <v>13.33333333</v>
      </c>
    </row>
    <row r="6">
      <c r="A6" s="3" t="s">
        <v>18</v>
      </c>
      <c r="B6" s="3">
        <v>3.0</v>
      </c>
      <c r="D6" s="10">
        <f>SUM(B2:B7)/B6*A13</f>
        <v>13.33333333</v>
      </c>
    </row>
    <row r="7">
      <c r="A7" s="3" t="s">
        <v>19</v>
      </c>
      <c r="B7" s="3">
        <v>1.0</v>
      </c>
      <c r="D7" s="10">
        <f>SUM(B2:B7)/B7*A13</f>
        <v>40</v>
      </c>
    </row>
    <row r="8">
      <c r="A8" s="1" t="s">
        <v>20</v>
      </c>
    </row>
    <row r="12">
      <c r="A12" s="1" t="s">
        <v>21</v>
      </c>
      <c r="B12" s="1" t="s">
        <v>22</v>
      </c>
    </row>
    <row r="13">
      <c r="A13" s="3">
        <v>0.8</v>
      </c>
      <c r="B13" s="3">
        <v>1.0</v>
      </c>
    </row>
    <row r="16">
      <c r="A16" s="1" t="s">
        <v>23</v>
      </c>
    </row>
    <row r="17">
      <c r="A17" s="1" t="s">
        <v>24</v>
      </c>
      <c r="B17" s="3" t="s">
        <v>18</v>
      </c>
    </row>
    <row r="18">
      <c r="A18" s="1" t="s">
        <v>25</v>
      </c>
      <c r="B18" s="3" t="s">
        <v>16</v>
      </c>
    </row>
    <row r="19">
      <c r="A19" s="1" t="s">
        <v>26</v>
      </c>
      <c r="B19" s="3" t="s">
        <v>17</v>
      </c>
    </row>
    <row r="20">
      <c r="A20" s="1" t="s">
        <v>27</v>
      </c>
      <c r="B20" s="3" t="s">
        <v>19</v>
      </c>
    </row>
    <row r="21">
      <c r="A21" s="1" t="s">
        <v>28</v>
      </c>
      <c r="B21" s="3" t="s">
        <v>9</v>
      </c>
    </row>
    <row r="22">
      <c r="A22" s="1" t="s">
        <v>29</v>
      </c>
      <c r="B22" s="3" t="s">
        <v>15</v>
      </c>
    </row>
  </sheetData>
  <dataValidations>
    <dataValidation type="list" allowBlank="1" showErrorMessage="1" sqref="B17:B22">
      <formula1>'仮オッズ'!$A$2:$A$8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" t="s">
        <v>0</v>
      </c>
    </row>
    <row r="2">
      <c r="B2" s="1" t="s">
        <v>3</v>
      </c>
      <c r="E2" s="1" t="s">
        <v>4</v>
      </c>
      <c r="H2" s="1" t="s">
        <v>6</v>
      </c>
      <c r="I2" s="1" t="s">
        <v>8</v>
      </c>
    </row>
    <row r="3">
      <c r="B3" s="6" t="str">
        <f>'仮オッズ'!A2</f>
        <v>ゆーや</v>
      </c>
      <c r="C3" s="8">
        <f>'仮オッズ'!D2</f>
        <v>2.105263158</v>
      </c>
      <c r="E3" s="6" t="str">
        <f>'仮オッズ'!A2</f>
        <v>ゆーや</v>
      </c>
      <c r="F3" s="6">
        <f>1/(1-(1-(1/'仮オッズ'!D2))^3)</f>
        <v>1.169184676</v>
      </c>
      <c r="H3" s="6" t="str">
        <f>'仮オッズ'!A2</f>
        <v>ゆーや</v>
      </c>
      <c r="I3" s="6">
        <f t="shared" ref="I3:I8" si="1">1/C3</f>
        <v>0.475</v>
      </c>
    </row>
    <row r="4">
      <c r="B4" s="6" t="str">
        <f>'仮オッズ'!A3</f>
        <v>たいよう</v>
      </c>
      <c r="C4" s="8">
        <f>'仮オッズ'!D3</f>
        <v>2.352941176</v>
      </c>
      <c r="E4" s="6" t="str">
        <f>'仮オッズ'!A3</f>
        <v>たいよう</v>
      </c>
      <c r="F4" s="6">
        <f>1/(1-(1-(1/'仮オッズ'!D3))^3)</f>
        <v>1.234734629</v>
      </c>
      <c r="H4" s="6" t="str">
        <f>'仮オッズ'!A3</f>
        <v>たいよう</v>
      </c>
      <c r="I4" s="6">
        <f t="shared" si="1"/>
        <v>0.425</v>
      </c>
    </row>
    <row r="5">
      <c r="B5" s="6" t="str">
        <f>'仮オッズ'!A4</f>
        <v>はせりょー</v>
      </c>
      <c r="C5" s="8">
        <f>'仮オッズ'!D4</f>
        <v>5.714285714</v>
      </c>
      <c r="E5" s="6" t="str">
        <f>'仮オッズ'!A4</f>
        <v>はせりょー</v>
      </c>
      <c r="F5" s="6">
        <f>1/(1-(1-(1/'仮オッズ'!D4))^3)</f>
        <v>2.280582974</v>
      </c>
      <c r="H5" s="6" t="str">
        <f>'仮オッズ'!A4</f>
        <v>はせりょー</v>
      </c>
      <c r="I5" s="6">
        <f t="shared" si="1"/>
        <v>0.175</v>
      </c>
    </row>
    <row r="6">
      <c r="B6" s="6" t="str">
        <f>'仮オッズ'!A5</f>
        <v>みわ</v>
      </c>
      <c r="C6" s="8">
        <f>'仮オッズ'!D5</f>
        <v>13.33333333</v>
      </c>
      <c r="E6" s="6" t="str">
        <f>'仮オッズ'!A5</f>
        <v>みわ</v>
      </c>
      <c r="F6" s="6">
        <f>1/(1-(1-(1/'仮オッズ'!D5))^3)</f>
        <v>4.795085038</v>
      </c>
      <c r="H6" s="6" t="str">
        <f>'仮オッズ'!A5</f>
        <v>みわ</v>
      </c>
      <c r="I6" s="6">
        <f t="shared" si="1"/>
        <v>0.075</v>
      </c>
    </row>
    <row r="7">
      <c r="B7" s="6" t="str">
        <f>'仮オッズ'!A6</f>
        <v>こーた</v>
      </c>
      <c r="C7" s="8">
        <f>'仮オッズ'!D6</f>
        <v>13.33333333</v>
      </c>
      <c r="E7" s="6" t="str">
        <f>'仮オッズ'!A6</f>
        <v>こーた</v>
      </c>
      <c r="F7" s="6">
        <f>1/(1-(1-(1/'仮オッズ'!D6))^3)</f>
        <v>4.795085038</v>
      </c>
      <c r="H7" s="6" t="str">
        <f>'仮オッズ'!A6</f>
        <v>こーた</v>
      </c>
      <c r="I7" s="6">
        <f t="shared" si="1"/>
        <v>0.075</v>
      </c>
    </row>
    <row r="8">
      <c r="B8" s="6" t="str">
        <f>'仮オッズ'!A7</f>
        <v>いずみ</v>
      </c>
      <c r="C8" s="8">
        <f>'仮オッズ'!D7</f>
        <v>40</v>
      </c>
      <c r="E8" s="6" t="str">
        <f>'仮オッズ'!A7</f>
        <v>いずみ</v>
      </c>
      <c r="F8" s="6">
        <f>1/(1-(1-(1/'仮オッズ'!D7))^3)</f>
        <v>13.67229225</v>
      </c>
      <c r="H8" s="6" t="str">
        <f>'仮オッズ'!A7</f>
        <v>いずみ</v>
      </c>
      <c r="I8" s="6">
        <f t="shared" si="1"/>
        <v>0.025</v>
      </c>
    </row>
    <row r="9">
      <c r="B9" s="6" t="str">
        <f>'仮オッズ'!A8</f>
        <v>未選択</v>
      </c>
      <c r="C9" s="6" t="str">
        <f>'仮オッズ'!D8</f>
        <v/>
      </c>
      <c r="E9" s="6" t="str">
        <f>'仮オッズ'!A8</f>
        <v>未選択</v>
      </c>
      <c r="H9" s="6" t="str">
        <f>'仮オッズ'!A8</f>
        <v>未選択</v>
      </c>
    </row>
    <row r="10">
      <c r="B10" s="6" t="str">
        <f>'仮オッズ'!A9</f>
        <v/>
      </c>
      <c r="C10" s="6" t="str">
        <f>'仮オッズ'!D9:D18</f>
        <v/>
      </c>
      <c r="E10" s="6" t="str">
        <f>'仮オッズ'!A9</f>
        <v/>
      </c>
      <c r="H10" s="6" t="str">
        <f>'仮オッズ'!A9</f>
        <v/>
      </c>
    </row>
    <row r="11">
      <c r="B11" s="6" t="str">
        <f>'仮オッズ'!A10</f>
        <v/>
      </c>
      <c r="E11" s="6" t="str">
        <f>'仮オッズ'!A10</f>
        <v/>
      </c>
      <c r="H11" s="6" t="str">
        <f>'仮オッズ'!A10</f>
        <v/>
      </c>
    </row>
    <row r="12">
      <c r="B12" s="1" t="s">
        <v>30</v>
      </c>
      <c r="F12" s="14" t="s">
        <v>6</v>
      </c>
      <c r="G12" s="15"/>
      <c r="H12" s="16"/>
    </row>
    <row r="13">
      <c r="F13" s="17">
        <f>IFS('A馬券購入'!B3='仮オッズ'!$A$2,$I$3,'A馬券購入'!B3='仮オッズ'!$A$3,$I$4,'A馬券購入'!B3='仮オッズ'!$A$4,$I$5,'A馬券購入'!B3='仮オッズ'!$A$5,$I$6,'A馬券購入'!B3='仮オッズ'!$A$6,$I$7,'A馬券購入'!B3='仮オッズ'!$A$7,$I$8)</f>
        <v>0.025</v>
      </c>
      <c r="G13" s="6" t="str">
        <f>IFS('A馬券購入'!C3='仮オッズ'!$A$2,$I$3,'A馬券購入'!C3='仮オッズ'!$A$3,$I$4,'A馬券購入'!C3='仮オッズ'!$A$4,$I$5,'A馬券購入'!C3='仮オッズ'!$A$5,$I$6,'A馬券購入'!C3='仮オッズ'!$A$6,$I$7,'A馬券購入'!C3='仮オッズ'!$A$7,$I$8)</f>
        <v>#N/A</v>
      </c>
      <c r="H13" s="18" t="str">
        <f>IFS('A馬券購入'!D3='仮オッズ'!$A$2,$I$3,'A馬券購入'!D3='仮オッズ'!$A$3,$I$4,'A馬券購入'!D3='仮オッズ'!$A$4,$I$5,'A馬券購入'!D3='仮オッズ'!$A$5,$I$6,'A馬券購入'!D3='仮オッズ'!$A$6,$I$7,'A馬券購入'!D3='仮オッズ'!$A$7,$I$8)</f>
        <v>#N/A</v>
      </c>
    </row>
    <row r="14">
      <c r="A14" s="1" t="s">
        <v>3</v>
      </c>
      <c r="B14" s="8">
        <f>VLOOKUP('A馬券購入'!B$3,単勝,2,false)</f>
        <v>40</v>
      </c>
      <c r="F14" s="17" t="str">
        <f>IFS('A馬券購入'!B4='仮オッズ'!$A$2,$I$3,'A馬券購入'!B4='仮オッズ'!$A$3,$I$4,'A馬券購入'!B4='仮オッズ'!$A$4,$I$5,'A馬券購入'!B4='仮オッズ'!$A$5,$I$6,'A馬券購入'!B4='仮オッズ'!$A$6,$I$7,'A馬券購入'!B4='仮オッズ'!$A$7,$I$8)</f>
        <v>#N/A</v>
      </c>
      <c r="G14" s="6">
        <f>IFS('A馬券購入'!C4='仮オッズ'!$A$2,$I$3,'A馬券購入'!C4='仮オッズ'!$A$3,$I$4,'A馬券購入'!C4='仮オッズ'!$A$4,$I$5,'A馬券購入'!C4='仮オッズ'!$A$5,$I$6,'A馬券購入'!C4='仮オッズ'!$A$6,$I$7,'A馬券購入'!C4='仮オッズ'!$A$7,$I$8)</f>
        <v>0.425</v>
      </c>
      <c r="H14" s="18">
        <f>IFS('A馬券購入'!D4='仮オッズ'!$A$2,$I$3,'A馬券購入'!D4='仮オッズ'!$A$3,$I$4,'A馬券購入'!D4='仮オッズ'!$A$4,$I$5,'A馬券購入'!D4='仮オッズ'!$A$5,$I$6,'A馬券購入'!D4='仮オッズ'!$A$6,$I$7,'A馬券購入'!D4='仮オッズ'!$A$7,$I$8)</f>
        <v>0.075</v>
      </c>
    </row>
    <row r="15">
      <c r="A15" s="1" t="s">
        <v>4</v>
      </c>
      <c r="B15" s="6">
        <f>VLOOKUP('A馬券購入'!B3,複勝,2,false)</f>
        <v>13.67229225</v>
      </c>
      <c r="F15" s="17" t="str">
        <f>IFS('A馬券購入'!B5='仮オッズ'!$A$2,$I$3,'A馬券購入'!B5='仮オッズ'!$A$3,$I$4,'A馬券購入'!B5='仮オッズ'!$A$4,$I$5,'A馬券購入'!B5='仮オッズ'!$A$5,$I$6,'A馬券購入'!B5='仮オッズ'!$A$6,$I$7,'A馬券購入'!B5='仮オッズ'!$A$7,$I$8)</f>
        <v>#N/A</v>
      </c>
      <c r="G15" s="6" t="str">
        <f>IFS('A馬券購入'!C5='仮オッズ'!$A$2,$I$3,'A馬券購入'!C5='仮オッズ'!$A$3,$I$4,'A馬券購入'!C5='仮オッズ'!$A$4,$I$5,'A馬券購入'!C5='仮オッズ'!$A$5,$I$6,'A馬券購入'!C5='仮オッズ'!$A$6,$I$7,'A馬券購入'!C5='仮オッズ'!$A$7,$I$8)</f>
        <v>#N/A</v>
      </c>
      <c r="H15" s="18" t="str">
        <f>IFS('A馬券購入'!D5='仮オッズ'!$A$2,$I$3,'A馬券購入'!D5='仮オッズ'!$A$3,$I$4,'A馬券購入'!D5='仮オッズ'!$A$4,$I$5,'A馬券購入'!D5='仮オッズ'!$A$5,$I$6,'A馬券購入'!D5='仮オッズ'!$A$6,$I$7,'A馬券購入'!D5='仮オッズ'!$A$7,$I$8)</f>
        <v>#N/A</v>
      </c>
    </row>
    <row r="16">
      <c r="A16" s="1" t="s">
        <v>31</v>
      </c>
      <c r="B16" s="1" t="str">
        <f>1/((F13*(G13/(1-F13))*(H13/(1-F13-G13))))</f>
        <v>#N/A</v>
      </c>
      <c r="F16" s="17" t="str">
        <f>IFS('A馬券購入'!B6='仮オッズ'!$A$2,$I$3,'A馬券購入'!B6='仮オッズ'!$A$3,$I$4,'A馬券購入'!B6='仮オッズ'!$A$4,$I$5,'A馬券購入'!B6='仮オッズ'!$A$5,$I$6,'A馬券購入'!B6='仮オッズ'!$A$6,$I$7,'A馬券購入'!B6='仮オッズ'!$A$7,$I$8)</f>
        <v>#N/A</v>
      </c>
      <c r="G16" s="6" t="str">
        <f>IFS('A馬券購入'!C6='仮オッズ'!$A$2,$I$3,'A馬券購入'!C6='仮オッズ'!$A$3,$I$4,'A馬券購入'!C6='仮オッズ'!$A$4,$I$5,'A馬券購入'!C6='仮オッズ'!$A$5,$I$6,'A馬券購入'!C6='仮オッズ'!$A$6,$I$7,'A馬券購入'!C6='仮オッズ'!$A$7,$I$8)</f>
        <v>#N/A</v>
      </c>
      <c r="H16" s="18" t="str">
        <f>IFS('A馬券購入'!D6='仮オッズ'!$A$2,$I$3,'A馬券購入'!D6='仮オッズ'!$A$3,$I$4,'A馬券購入'!D6='仮オッズ'!$A$4,$I$5,'A馬券購入'!D6='仮オッズ'!$A$5,$I$6,'A馬券購入'!D6='仮オッズ'!$A$6,$I$7,'A馬券購入'!D6='仮オッズ'!$A$7,$I$8)</f>
        <v>#N/A</v>
      </c>
    </row>
    <row r="17">
      <c r="A17" s="1" t="s">
        <v>37</v>
      </c>
      <c r="B17" s="6" t="str">
        <f>1/(F13*(G13/(1-F13))*(H13/(1-F13-G13))+F13*(H13/(1-F13))*(G13/(1-F13-H13))+G13*(F13/(1-G13))*(H13/(1-F13-G13))+G13*(H13/(1-G13))*(F13/(1-G13-H13))+H13*(F13/(1-H13))*(G13/(1-H13-F13))+H13*(G13/(1-H13))*(F13/(1-G13-F13)))</f>
        <v>#N/A</v>
      </c>
      <c r="F17" s="17" t="str">
        <f>IFS('A馬券購入'!B7='仮オッズ'!$A$2,$I$3,'A馬券購入'!B7='仮オッズ'!$A$3,$I$4,'A馬券購入'!B7='仮オッズ'!$A$4,$I$5,'A馬券購入'!B7='仮オッズ'!$A$5,$I$6,'A馬券購入'!B7='仮オッズ'!$A$6,$I$7,'A馬券購入'!B7='仮オッズ'!$A$7,$I$8)</f>
        <v>#N/A</v>
      </c>
      <c r="G17" s="6" t="str">
        <f>IFS('A馬券購入'!C7='仮オッズ'!$A$2,$I$3,'A馬券購入'!C7='仮オッズ'!$A$3,$I$4,'A馬券購入'!C7='仮オッズ'!$A$4,$I$5,'A馬券購入'!C7='仮オッズ'!$A$5,$I$6,'A馬券購入'!C7='仮オッズ'!$A$6,$I$7,'A馬券購入'!C7='仮オッズ'!$A$7,$I$8)</f>
        <v>#N/A</v>
      </c>
      <c r="H17" s="18" t="str">
        <f>IFS('A馬券購入'!D7='仮オッズ'!$A$2,$I$3,'A馬券購入'!D7='仮オッズ'!$A$3,$I$4,'A馬券購入'!D7='仮オッズ'!$A$4,$I$5,'A馬券購入'!D7='仮オッズ'!$A$5,$I$6,'A馬券購入'!D7='仮オッズ'!$A$6,$I$7,'A馬券購入'!D7='仮オッズ'!$A$7,$I$8)</f>
        <v>#N/A</v>
      </c>
    </row>
    <row r="18">
      <c r="F18" s="17" t="str">
        <f>IFS('A馬券購入'!B8='仮オッズ'!$A$2,$I$3,'A馬券購入'!B8='仮オッズ'!$A$3,$I$4,'A馬券購入'!B8='仮オッズ'!$A$4,$I$5,'A馬券購入'!B8='仮オッズ'!$A$5,$I$6,'A馬券購入'!B8='仮オッズ'!$A$6,$I$7,'A馬券購入'!B8='仮オッズ'!$A$7,$I$8)</f>
        <v>#N/A</v>
      </c>
      <c r="G18" s="6" t="str">
        <f>IFS('A馬券購入'!C8='仮オッズ'!$A$2,$I$3,'A馬券購入'!C8='仮オッズ'!$A$3,$I$4,'A馬券購入'!C8='仮オッズ'!$A$4,$I$5,'A馬券購入'!C8='仮オッズ'!$A$5,$I$6,'A馬券購入'!C8='仮オッズ'!$A$6,$I$7,'A馬券購入'!C8='仮オッズ'!$A$7,$I$8)</f>
        <v>#N/A</v>
      </c>
      <c r="H18" s="18" t="str">
        <f>IFS('A馬券購入'!D8='仮オッズ'!$A$2,$I$3,'A馬券購入'!D8='仮オッズ'!$A$3,$I$4,'A馬券購入'!D8='仮オッズ'!$A$4,$I$5,'A馬券購入'!D8='仮オッズ'!$A$5,$I$6,'A馬券購入'!D8='仮オッズ'!$A$6,$I$7,'A馬券購入'!D8='仮オッズ'!$A$7,$I$8)</f>
        <v>#N/A</v>
      </c>
    </row>
    <row r="19">
      <c r="B19" s="1" t="s">
        <v>41</v>
      </c>
      <c r="C19" s="1" t="s">
        <v>42</v>
      </c>
      <c r="D19" s="1" t="s">
        <v>43</v>
      </c>
      <c r="F19" s="22" t="str">
        <f>IFS('A馬券購入'!B9='仮オッズ'!$A$2,$I$3,'A馬券購入'!B9='仮オッズ'!$A$3,$I$4,'A馬券購入'!B9='仮オッズ'!$A$4,$I$5,'A馬券購入'!B9='仮オッズ'!$A$5,$I$6,'A馬券購入'!B9='仮オッズ'!$A$6,$I$7,'A馬券購入'!B9='仮オッズ'!$A$7,$I$8)</f>
        <v>#N/A</v>
      </c>
      <c r="G19" s="23" t="str">
        <f>IFS('A馬券購入'!C9='仮オッズ'!$A$2,$I$3,'A馬券購入'!C9='仮オッズ'!$A$3,$I$4,'A馬券購入'!C9='仮オッズ'!$A$4,$I$5,'A馬券購入'!C9='仮オッズ'!$A$5,$I$6,'A馬券購入'!C9='仮オッズ'!$A$6,$I$7,'A馬券購入'!C9='仮オッズ'!$A$7,$I$8)</f>
        <v>#N/A</v>
      </c>
      <c r="H19" s="24" t="str">
        <f>IFS('A馬券購入'!D9='仮オッズ'!$A$2,$I$3,'A馬券購入'!D9='仮オッズ'!$A$3,$I$4,'A馬券購入'!D9='仮オッズ'!$A$4,$I$5,'A馬券購入'!D9='仮オッズ'!$A$5,$I$6,'A馬券購入'!D9='仮オッズ'!$A$6,$I$7,'A馬券購入'!D9='仮オッズ'!$A$7,$I$8)</f>
        <v>#N/A</v>
      </c>
    </row>
    <row r="20">
      <c r="A20" s="1" t="s">
        <v>30</v>
      </c>
      <c r="B20" s="6">
        <f>IFS('A馬券購入'!A3="単勝",$B$14,'A馬券購入'!A3="複勝",$B$15,'A馬券購入'!A3="三連単",$B$16,'A馬券購入'!A3="三連複",$B$17)</f>
        <v>13.67229225</v>
      </c>
      <c r="C20" s="6">
        <f t="shared" ref="C20:C24" si="2">IF(B20&lt;1.1,1.1,B20)</f>
        <v>13.67229225</v>
      </c>
      <c r="D20" s="6">
        <f t="shared" ref="D20:D24" si="3">IFERROR(C20,"未選択")</f>
        <v>13.67229225</v>
      </c>
    </row>
    <row r="21">
      <c r="A21" s="1" t="s">
        <v>44</v>
      </c>
      <c r="B21" s="6" t="str">
        <f>IFS('A馬券購入'!A4="単勝",$G$22,'A馬券購入'!A4="複勝",$G$23,'A馬券購入'!A4="三連単",$G$24,'A馬券購入'!A4="三連複",$G$25)</f>
        <v>#N/A</v>
      </c>
      <c r="C21" s="6" t="str">
        <f t="shared" si="2"/>
        <v>#N/A</v>
      </c>
      <c r="D21" s="6" t="str">
        <f t="shared" si="3"/>
        <v>未選択</v>
      </c>
      <c r="F21" s="14" t="s">
        <v>45</v>
      </c>
      <c r="G21" s="25" t="s">
        <v>12</v>
      </c>
      <c r="H21" s="26" t="s">
        <v>13</v>
      </c>
      <c r="I21" s="14" t="s">
        <v>46</v>
      </c>
      <c r="J21" s="15"/>
      <c r="K21" s="26" t="s">
        <v>13</v>
      </c>
      <c r="L21" s="14" t="s">
        <v>47</v>
      </c>
      <c r="M21" s="15"/>
      <c r="N21" s="16"/>
      <c r="O21" s="14" t="s">
        <v>48</v>
      </c>
      <c r="P21" s="15"/>
      <c r="Q21" s="16"/>
    </row>
    <row r="22">
      <c r="A22" s="1" t="s">
        <v>49</v>
      </c>
      <c r="B22" s="6" t="str">
        <f>IFS('A馬券購入'!A5="単勝",$J$22,'A馬券購入'!A5="複勝",$J$23,'A馬券購入'!A5="三連単",$J$24,'A馬券購入'!A5="三連複",$J$25)</f>
        <v>#N/A</v>
      </c>
      <c r="C22" s="6" t="str">
        <f t="shared" si="2"/>
        <v>#N/A</v>
      </c>
      <c r="D22" s="6" t="str">
        <f t="shared" si="3"/>
        <v>未選択</v>
      </c>
      <c r="F22" s="27" t="s">
        <v>3</v>
      </c>
      <c r="G22" s="6" t="str">
        <f>VLOOKUP('A馬券購入'!B$4,単勝,2,false)</f>
        <v>#N/A</v>
      </c>
      <c r="H22" s="18" t="str">
        <f>IF('A馬券購入'!B4='仮オッズ'!$B$17,"的中","不的中")</f>
        <v>不的中</v>
      </c>
      <c r="I22" s="27" t="s">
        <v>3</v>
      </c>
      <c r="J22" s="6" t="str">
        <f>VLOOKUP('A馬券購入'!$B$5,単勝,2,false)</f>
        <v>#N/A</v>
      </c>
      <c r="K22" s="18" t="str">
        <f>IF('A馬券購入'!B5='仮オッズ'!$B$17,"的中","不的中")</f>
        <v>不的中</v>
      </c>
      <c r="L22" s="27" t="s">
        <v>3</v>
      </c>
      <c r="M22" s="6" t="str">
        <f>VLOOKUP('A馬券購入'!$B$6,単勝,2,false)</f>
        <v>#N/A</v>
      </c>
      <c r="N22" s="18" t="str">
        <f>IF('A馬券購入'!B6='仮オッズ'!$B$17,"的中","不的中")</f>
        <v>不的中</v>
      </c>
      <c r="O22" s="27" t="s">
        <v>3</v>
      </c>
      <c r="P22" s="6" t="str">
        <f>VLOOKUP('A馬券購入'!$B$7,単勝,2,false)</f>
        <v>#N/A</v>
      </c>
      <c r="Q22" s="18" t="str">
        <f>IF('A馬券購入'!B7='仮オッズ'!$B$17,"的中","不的中")</f>
        <v>不的中</v>
      </c>
    </row>
    <row r="23">
      <c r="A23" s="1" t="s">
        <v>47</v>
      </c>
      <c r="B23" s="6" t="str">
        <f>IFS('A馬券購入'!A6="単勝",$M$22,'A馬券購入'!A6="複勝",$M$23,'A馬券購入'!A6="三連単",$M$24,'A馬券購入'!A6="三連複",$M$25)</f>
        <v>#N/A</v>
      </c>
      <c r="C23" s="6" t="str">
        <f t="shared" si="2"/>
        <v>#N/A</v>
      </c>
      <c r="D23" s="6" t="str">
        <f t="shared" si="3"/>
        <v>未選択</v>
      </c>
      <c r="F23" s="27" t="s">
        <v>4</v>
      </c>
      <c r="G23" s="6" t="str">
        <f>VLOOKUP('A馬券購入'!$B$4,複勝,2,false)</f>
        <v>#N/A</v>
      </c>
      <c r="H23" s="18" t="str">
        <f>IF(OR('A馬券購入'!B4='仮オッズ'!$B$17,'A馬券購入'!B4='仮オッズ'!$B$18,'A馬券購入'!B4='仮オッズ'!$B$19),"的中","不的中")</f>
        <v>不的中</v>
      </c>
      <c r="I23" s="27" t="s">
        <v>4</v>
      </c>
      <c r="J23" s="6" t="str">
        <f>VLOOKUP('A馬券購入'!$B$5,複勝,2,false)</f>
        <v>#N/A</v>
      </c>
      <c r="K23" s="18" t="str">
        <f>IF(OR('A馬券購入'!B5='仮オッズ'!$B$17,'A馬券購入'!B5='仮オッズ'!$B$18,'A馬券購入'!B5='仮オッズ'!$B$19),"的中","不的中")</f>
        <v>不的中</v>
      </c>
      <c r="L23" s="27" t="s">
        <v>4</v>
      </c>
      <c r="M23" s="6" t="str">
        <f>VLOOKUP('A馬券購入'!$B$6,複勝,2,false)</f>
        <v>#N/A</v>
      </c>
      <c r="N23" s="18" t="str">
        <f>IF(OR('A馬券購入'!B6='仮オッズ'!$B$17,'A馬券購入'!B6='仮オッズ'!$B$18,'A馬券購入'!B6='仮オッズ'!$B$19),"的中","不的中")</f>
        <v>不的中</v>
      </c>
      <c r="O23" s="27" t="s">
        <v>4</v>
      </c>
      <c r="P23" s="6" t="str">
        <f>VLOOKUP('A馬券購入'!$B$7,複勝,2,false)</f>
        <v>#N/A</v>
      </c>
      <c r="Q23" s="18" t="str">
        <f>IF(OR('A馬券購入'!B7='仮オッズ'!$B$17,'A馬券購入'!B7='仮オッズ'!$B$18,'A馬券購入'!B7='仮オッズ'!$B$19),"的中","不的中")</f>
        <v>不的中</v>
      </c>
    </row>
    <row r="24">
      <c r="A24" s="1" t="s">
        <v>48</v>
      </c>
      <c r="B24" s="6" t="str">
        <f>IFS('A馬券購入'!A7="単勝",$P$22,'A馬券購入'!A7="複勝",$P$23,'A馬券購入'!A7="三連単",$P$24,'A馬券購入'!A7="三連複",$P$25)</f>
        <v>#N/A</v>
      </c>
      <c r="C24" s="6" t="str">
        <f t="shared" si="2"/>
        <v>#N/A</v>
      </c>
      <c r="D24" s="6" t="str">
        <f t="shared" si="3"/>
        <v>未選択</v>
      </c>
      <c r="F24" s="27" t="s">
        <v>31</v>
      </c>
      <c r="G24" s="6" t="str">
        <f>1/((F14*(G14/(1-F14))*(H14/(1-F14-G14))))</f>
        <v>#N/A</v>
      </c>
      <c r="H24" s="18" t="str">
        <f>if(AND('A馬券購入'!B4='仮オッズ'!$B$17,'A馬券購入'!C4='仮オッズ'!$B$18,'A馬券購入'!D4='仮オッズ'!$B$19),"的中","不的中")</f>
        <v>不的中</v>
      </c>
      <c r="I24" s="27" t="s">
        <v>31</v>
      </c>
      <c r="J24" s="6" t="str">
        <f>1/((F15*(G15/(1-F15))*(H15/(1-F15-G15))))</f>
        <v>#N/A</v>
      </c>
      <c r="K24" s="18" t="str">
        <f>if(AND('A馬券購入'!B5='仮オッズ'!$B$17,'A馬券購入'!C5='仮オッズ'!$B$18,'A馬券購入'!D5='仮オッズ'!$B$19),"的中","不的中")</f>
        <v>不的中</v>
      </c>
      <c r="L24" s="27" t="s">
        <v>31</v>
      </c>
      <c r="M24" s="6" t="str">
        <f>1/((F16*(G16/(1-F16))*(H16/(1-F16-G16))))</f>
        <v>#N/A</v>
      </c>
      <c r="N24" s="18" t="str">
        <f>if(AND('A馬券購入'!B6='仮オッズ'!$B$17,'A馬券購入'!C6='仮オッズ'!$B$18,'A馬券購入'!D6='仮オッズ'!$B$19),"的中","不的中")</f>
        <v>不的中</v>
      </c>
      <c r="O24" s="27" t="s">
        <v>31</v>
      </c>
      <c r="P24" s="6" t="str">
        <f>1/((F17*(G17/(1-F17))*(H17/(1-F17-G17))))</f>
        <v>#N/A</v>
      </c>
      <c r="Q24" s="18" t="str">
        <f>if(AND('A馬券購入'!B7='仮オッズ'!$B$17,'A馬券購入'!C7='仮オッズ'!$B$18,'A馬券購入'!D7='仮オッズ'!$B$19),"的中","不的中")</f>
        <v>不的中</v>
      </c>
    </row>
    <row r="25">
      <c r="F25" s="28" t="s">
        <v>37</v>
      </c>
      <c r="G25" s="23" t="str">
        <f>1/(F14*(G14/(1-F14))*(H14/(1-F14-G14))+F14*(H14/(1-F14))*(G14/(1-F14-H14))+G14*(F14/(1-G14))*(H14/(1-F14-G14))+G14*(H14/(1-G14))*(F14/(1-G14-H14))+H14*(F14/(1-H14))*(G14/(1-H14-F14))+H14*(G14/(1-H14))*(F14/(1-G14-F14)))</f>
        <v>#N/A</v>
      </c>
      <c r="H25" s="24" t="str">
        <f>IF(AND(OR('仮オッズ'!$B$17='A馬券購入'!B4,'仮オッズ'!$B$18='A馬券購入'!B4,'仮オッズ'!$B$19='A馬券購入'!B4),OR('仮オッズ'!$B$17='A馬券購入'!C4,'仮オッズ'!$B$18='A馬券購入'!C4,'仮オッズ'!$B$19='A馬券購入'!C4),OR('仮オッズ'!$B$17='A馬券購入'!D4,'仮オッズ'!$B$18='A馬券購入'!D4,'仮オッズ'!$B$19='A馬券購入'!D4)),"的中","不的中")</f>
        <v>不的中</v>
      </c>
      <c r="I25" s="28" t="s">
        <v>37</v>
      </c>
      <c r="J25" s="23" t="str">
        <f>1/(F15*(G15*(1-F15))*(H15/(1-F15-G15))+F15*(H15/(1-F15))*(G15/(1-F15-H15))+G15*(F15/(1-G15))*(H15/(1-F15-G15))+G15*(H15/(1-G15))*(F15/(1-G15-H15))+H15*(F15/(1-H15))*(G15/(1-H15-F15))+H15*(G15/(1-H15))*(F15/(1-G15-F15)))</f>
        <v>#N/A</v>
      </c>
      <c r="K25" s="24" t="str">
        <f>IF(AND(OR('仮オッズ'!$B$17='A馬券購入'!B5,'仮オッズ'!$B$18='A馬券購入'!B5,'仮オッズ'!$B$19='A馬券購入'!B5),OR('仮オッズ'!$B$17='A馬券購入'!C5,'仮オッズ'!$B$18='A馬券購入'!C5,'仮オッズ'!$B$19='A馬券購入'!C5),OR('仮オッズ'!$B$17='A馬券購入'!D5,'仮オッズ'!$B$18='A馬券購入'!D5,'仮オッズ'!$B$19='A馬券購入'!D5)),"的中","不的中")</f>
        <v>不的中</v>
      </c>
      <c r="L25" s="28" t="s">
        <v>37</v>
      </c>
      <c r="M25" s="23" t="str">
        <f>1/(F16*(G16*(1-F16))*(H16/(1-F16-G16))+F16*(H16/(1-F16))*(G16/(1-F16-H16))+G16*(F16/(1-G16))*(H16/(1-F16-G16))+G16*(H16/(1-G16))*(F16/(1-G16-H16))+H16*(F16/(1-H16))*(G16/(1-H16-F16))+H16*(G16/(1-H16))*(F16/(1-G16-F16)))</f>
        <v>#N/A</v>
      </c>
      <c r="N25" s="24" t="str">
        <f>IF(AND(OR('仮オッズ'!$B$17='A馬券購入'!B6,'仮オッズ'!$B$18='A馬券購入'!B6,'仮オッズ'!$B$19='A馬券購入'!B6),OR('仮オッズ'!$B$17='A馬券購入'!C6,'仮オッズ'!$B$18='A馬券購入'!C6,'仮オッズ'!$B$19='A馬券購入'!C6),OR('仮オッズ'!$B$17='A馬券購入'!D6,'仮オッズ'!$B$18='A馬券購入'!D6,'仮オッズ'!$B$19='A馬券購入'!D6)),"的中","不的中")</f>
        <v>不的中</v>
      </c>
      <c r="O25" s="28" t="s">
        <v>37</v>
      </c>
      <c r="P25" s="23" t="str">
        <f>1/(F17*(G17*(1-F17))*(H17/(1-F17-G17))+F17*(H17/(1-F17))*(G17/(1-F17-H17))+G17*(F17/(1-G17))*(H17/(1-F17-G17))+G17*(H17/(1-G17))*(F17/(1-G17-H17))+H17*(F17/(1-H17))*(G17/(1-H17-F17))+H17*(G17/(1-H17))*(F17/(1-G17-F17)))</f>
        <v>#N/A</v>
      </c>
      <c r="Q25" s="24" t="str">
        <f>IF(AND(OR('仮オッズ'!$B$17='A馬券購入'!B7,'仮オッズ'!$B$18='A馬券購入'!B7,'仮オッズ'!$B$19='A馬券購入'!B7),OR('仮オッズ'!$B$17='A馬券購入'!C7,'仮オッズ'!$B$18='A馬券購入'!C7,'仮オッズ'!$B$19='A馬券購入'!C7),OR('仮オッズ'!$B$17='A馬券購入'!D7,'仮オッズ'!$B$18='A馬券購入'!D7,'仮オッズ'!$B$19='A馬券購入'!D7)),"的中","不的中")</f>
        <v>不的中</v>
      </c>
    </row>
    <row r="27">
      <c r="B27" s="1" t="s">
        <v>50</v>
      </c>
    </row>
    <row r="28">
      <c r="B28" s="1" t="s">
        <v>51</v>
      </c>
      <c r="C28" s="6" t="str">
        <f>IF('A馬券購入'!B3='仮オッズ'!$B$17,"的中","不的中")</f>
        <v>不的中</v>
      </c>
    </row>
    <row r="29">
      <c r="B29" s="1" t="s">
        <v>52</v>
      </c>
      <c r="C29" s="6" t="str">
        <f>if(AND('A馬券購入'!B3='仮オッズ'!$B$17,'A馬券購入'!C3='仮オッズ'!$B$18,'A馬券購入'!D3='仮オッズ'!$B$19),"的中","不的中")</f>
        <v>不的中</v>
      </c>
    </row>
    <row r="30">
      <c r="B30" s="1" t="s">
        <v>53</v>
      </c>
      <c r="C30" s="6" t="str">
        <f>IF(OR('A馬券購入'!B3='仮オッズ'!$B$17,'A馬券購入'!B3='仮オッズ'!$B$18,'A馬券購入'!B3='仮オッズ'!$B$19),"的中","不的中")</f>
        <v>不的中</v>
      </c>
    </row>
    <row r="31">
      <c r="B31" s="1" t="s">
        <v>54</v>
      </c>
      <c r="C31" s="6" t="str">
        <f>IF(AND(OR('仮オッズ'!$B$17='A馬券購入'!B3,'仮オッズ'!$B$18='A馬券購入'!B3,'仮オッズ'!$B$19='A馬券購入'!B3),OR('仮オッズ'!$B$17='A馬券購入'!C3,'仮オッズ'!$B$18='A馬券購入'!C3,'仮オッズ'!$B$19='A馬券購入'!C3),OR('仮オッズ'!$B$17='A馬券購入'!D3,'仮オッズ'!$B$18='A馬券購入'!D3,'仮オッズ'!$B$19='A馬券購入'!D3)),"的中","不的中")</f>
        <v>不的中</v>
      </c>
    </row>
    <row r="34">
      <c r="B34" s="1" t="s">
        <v>43</v>
      </c>
      <c r="C34" s="1" t="s">
        <v>55</v>
      </c>
      <c r="F34" s="1" t="s">
        <v>56</v>
      </c>
    </row>
    <row r="35">
      <c r="A35" s="1" t="s">
        <v>30</v>
      </c>
      <c r="B35" s="6" t="str">
        <f>IFS('A馬券購入'!A3="単勝",$C$28,'A馬券購入'!A3="三連単",$C$29,'A馬券購入'!A3="複勝",$C$30,'A馬券購入'!A3="三連複",$C$31,'A馬券購入'!A3="未選択","×")</f>
        <v>不的中</v>
      </c>
      <c r="C35" s="6">
        <f>IFS(B35="的中",'A馬券購入'!E3*'A馬券購入'!F3,B35="不的中",0,B35="×",0)</f>
        <v>0</v>
      </c>
      <c r="F35" s="29">
        <f>CEILING(SUM(C35:C39),5)</f>
        <v>0</v>
      </c>
    </row>
    <row r="36">
      <c r="A36" s="1" t="s">
        <v>44</v>
      </c>
      <c r="B36" s="6" t="str">
        <f>IFS('A馬券購入'!A4="単勝",$H$22,'A馬券購入'!A4="三連単",$H$24,'A馬券購入'!A4="複勝",$H$23,'A馬券購入'!A4="三連複",$H$25,'A馬券購入'!A4="未選択","×")</f>
        <v>不的中</v>
      </c>
      <c r="C36" s="6">
        <f>IFS(B36="的中",'A馬券購入'!E4*'A馬券購入'!F4,B36="不的中",0,B36="×",0)</f>
        <v>0</v>
      </c>
    </row>
    <row r="37">
      <c r="A37" s="1" t="s">
        <v>49</v>
      </c>
      <c r="B37" s="6" t="str">
        <f>IFS('A馬券購入'!A5="単勝",$K$22,'A馬券購入'!A5="三連単",$K$24,'A馬券購入'!A5="複勝",$K$23,'A馬券購入'!A5="三連複",$K$25,'A馬券購入'!A5="未選択","×")</f>
        <v>×</v>
      </c>
      <c r="C37" s="6">
        <f>IFS(B37="的中",'A馬券購入'!E5*'A馬券購入'!F5,B37="不的中",0,B37="×",0)</f>
        <v>0</v>
      </c>
    </row>
    <row r="38">
      <c r="A38" s="1" t="s">
        <v>47</v>
      </c>
      <c r="B38" s="6" t="str">
        <f>IFS('A馬券購入'!A6="単勝",$N$22,'A馬券購入'!A6="三連単",$N$24,'A馬券購入'!A6="複勝",$N$23,'A馬券購入'!A6="三連複",$N$25,'A馬券購入'!A6="未選択","×")</f>
        <v>×</v>
      </c>
      <c r="C38" s="6">
        <f>IFS(B38="的中",'A馬券購入'!E6*'A馬券購入'!F6,B38="不的中",0,B38="×",0)</f>
        <v>0</v>
      </c>
    </row>
    <row r="39">
      <c r="A39" s="1" t="s">
        <v>48</v>
      </c>
      <c r="B39" s="6" t="str">
        <f>IFS('A馬券購入'!A7="単勝",$Q$22,'A馬券購入'!A7="三連単",$Q$24,'A馬券購入'!A7="複勝",$Q$23,'A馬券購入'!A7="三連複",$Q$25,'A馬券購入'!A7="未選択","×")</f>
        <v>×</v>
      </c>
      <c r="C39" s="6">
        <f>IFS(B39="的中",'A馬券購入'!E7*'A馬券購入'!F7,B39="不的中",0,B39="×",0)</f>
        <v>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4" width="19.75"/>
    <col customWidth="1" min="7" max="7" width="12.38"/>
  </cols>
  <sheetData>
    <row r="2" ht="30.75" customHeight="1">
      <c r="A2" s="2" t="s">
        <v>1</v>
      </c>
      <c r="B2" s="4" t="s">
        <v>10</v>
      </c>
      <c r="C2" s="5"/>
      <c r="D2" s="7"/>
      <c r="E2" s="2" t="s">
        <v>11</v>
      </c>
      <c r="F2" s="2" t="s">
        <v>12</v>
      </c>
      <c r="G2" s="2" t="s">
        <v>13</v>
      </c>
      <c r="H2" s="2" t="s">
        <v>14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30.75" customHeight="1">
      <c r="A3" s="11" t="s">
        <v>4</v>
      </c>
      <c r="B3" s="11" t="s">
        <v>19</v>
      </c>
      <c r="C3" s="11" t="s">
        <v>20</v>
      </c>
      <c r="D3" s="11" t="s">
        <v>20</v>
      </c>
      <c r="E3" s="11">
        <v>2195.0</v>
      </c>
      <c r="F3" s="12">
        <f>'①の計算式'!D20</f>
        <v>13.67229225</v>
      </c>
      <c r="G3" s="13" t="str">
        <f>IF(COUNTIF('仮オッズ'!$A$17:$B$22,"未選択")&gt;0,"×",'①の計算式'!B35)</f>
        <v>不的中</v>
      </c>
      <c r="H3" s="13">
        <f>SUM(E3:E7)</f>
        <v>2195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30.75" customHeight="1">
      <c r="A4" s="11" t="s">
        <v>31</v>
      </c>
      <c r="B4" s="11" t="s">
        <v>32</v>
      </c>
      <c r="C4" s="11" t="s">
        <v>15</v>
      </c>
      <c r="D4" s="11" t="s">
        <v>18</v>
      </c>
      <c r="E4" s="11">
        <v>0.0</v>
      </c>
      <c r="F4" s="12" t="str">
        <f>'①の計算式'!D21</f>
        <v>未選択</v>
      </c>
      <c r="G4" s="13" t="str">
        <f>IF(COUNTIF('仮オッズ'!$A$17:$B$22,"未選択")&gt;0,"×",'①の計算式'!B36)</f>
        <v>不的中</v>
      </c>
      <c r="H4" s="19" t="s">
        <v>33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30.75" customHeight="1">
      <c r="A5" s="11" t="s">
        <v>20</v>
      </c>
      <c r="B5" s="11" t="s">
        <v>34</v>
      </c>
      <c r="C5" s="11" t="s">
        <v>20</v>
      </c>
      <c r="D5" s="11" t="s">
        <v>20</v>
      </c>
      <c r="E5" s="11">
        <v>0.0</v>
      </c>
      <c r="F5" s="12" t="str">
        <f>'①の計算式'!D22</f>
        <v>未選択</v>
      </c>
      <c r="G5" s="13" t="str">
        <f>IF(COUNTIF('仮オッズ'!$A$17:$B$22,"未選択")&gt;0,"×",'①の計算式'!B37)</f>
        <v>×</v>
      </c>
      <c r="H5" s="20">
        <f>IF(COUNTIF('仮オッズ'!$B$17:$B$22,"未選択")&gt;0,"×",'①の計算式'!F35)</f>
        <v>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30.75" customHeight="1">
      <c r="A6" s="11" t="s">
        <v>20</v>
      </c>
      <c r="B6" s="11" t="s">
        <v>35</v>
      </c>
      <c r="C6" s="11" t="s">
        <v>20</v>
      </c>
      <c r="D6" s="11" t="s">
        <v>20</v>
      </c>
      <c r="E6" s="11">
        <v>0.0</v>
      </c>
      <c r="F6" s="12" t="str">
        <f>'①の計算式'!D23</f>
        <v>未選択</v>
      </c>
      <c r="G6" s="13" t="str">
        <f>IF(COUNTIF('仮オッズ'!$A$17:$B$22,"未選択")&gt;0,"×",'①の計算式'!B38)</f>
        <v>×</v>
      </c>
      <c r="H6" s="19" t="s">
        <v>36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ht="30.75" customHeight="1">
      <c r="A7" s="11" t="s">
        <v>20</v>
      </c>
      <c r="B7" s="11" t="s">
        <v>38</v>
      </c>
      <c r="C7" s="11" t="s">
        <v>39</v>
      </c>
      <c r="D7" s="11" t="s">
        <v>40</v>
      </c>
      <c r="E7" s="11">
        <v>0.0</v>
      </c>
      <c r="F7" s="12" t="str">
        <f>'①の計算式'!D24</f>
        <v>未選択</v>
      </c>
      <c r="G7" s="13" t="str">
        <f>IF(COUNTIF('仮オッズ'!$A$17:$B$22,"未選択")&gt;0,"×",'①の計算式'!B39)</f>
        <v>×</v>
      </c>
      <c r="H7" s="20">
        <f>IF(H5="×","×",H5-H3)</f>
        <v>-2195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15">
      <c r="D15" s="21"/>
    </row>
  </sheetData>
  <mergeCells count="1">
    <mergeCell ref="B2:D2"/>
  </mergeCells>
  <dataValidations>
    <dataValidation type="list" allowBlank="1" showErrorMessage="1" sqref="A3:A7">
      <formula1>"未選択,単勝,複勝,三連単,三連複"</formula1>
    </dataValidation>
    <dataValidation type="list" allowBlank="1" showErrorMessage="1" sqref="B3:D7">
      <formula1>'仮オッズ'!$A$2:$A$11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" t="s">
        <v>0</v>
      </c>
    </row>
    <row r="2">
      <c r="B2" s="1" t="s">
        <v>3</v>
      </c>
      <c r="E2" s="1" t="s">
        <v>4</v>
      </c>
      <c r="H2" s="1" t="s">
        <v>6</v>
      </c>
      <c r="I2" s="1" t="s">
        <v>8</v>
      </c>
    </row>
    <row r="3">
      <c r="B3" s="6" t="str">
        <f>'仮オッズ'!A2</f>
        <v>ゆーや</v>
      </c>
      <c r="C3" s="8">
        <f>'仮オッズ'!D2</f>
        <v>2.105263158</v>
      </c>
      <c r="E3" s="6" t="str">
        <f>'仮オッズ'!A2</f>
        <v>ゆーや</v>
      </c>
      <c r="F3" s="6">
        <f>1/(1-(1-(1/'仮オッズ'!D2))^3)</f>
        <v>1.169184676</v>
      </c>
      <c r="H3" s="6" t="str">
        <f>'仮オッズ'!A2</f>
        <v>ゆーや</v>
      </c>
      <c r="I3" s="6">
        <f t="shared" ref="I3:I8" si="1">1/C3</f>
        <v>0.475</v>
      </c>
    </row>
    <row r="4">
      <c r="B4" s="6" t="str">
        <f>'仮オッズ'!A3</f>
        <v>たいよう</v>
      </c>
      <c r="C4" s="8">
        <f>'仮オッズ'!D3</f>
        <v>2.352941176</v>
      </c>
      <c r="E4" s="6" t="str">
        <f>'仮オッズ'!A3</f>
        <v>たいよう</v>
      </c>
      <c r="F4" s="6">
        <f>1/(1-(1-(1/'仮オッズ'!D3))^3)</f>
        <v>1.234734629</v>
      </c>
      <c r="H4" s="6" t="str">
        <f>'仮オッズ'!A3</f>
        <v>たいよう</v>
      </c>
      <c r="I4" s="6">
        <f t="shared" si="1"/>
        <v>0.425</v>
      </c>
    </row>
    <row r="5">
      <c r="B5" s="6" t="str">
        <f>'仮オッズ'!A4</f>
        <v>はせりょー</v>
      </c>
      <c r="C5" s="8">
        <f>'仮オッズ'!D4</f>
        <v>5.714285714</v>
      </c>
      <c r="E5" s="6" t="str">
        <f>'仮オッズ'!A4</f>
        <v>はせりょー</v>
      </c>
      <c r="F5" s="6">
        <f>1/(1-(1-(1/'仮オッズ'!D4))^3)</f>
        <v>2.280582974</v>
      </c>
      <c r="H5" s="6" t="str">
        <f>'仮オッズ'!A4</f>
        <v>はせりょー</v>
      </c>
      <c r="I5" s="6">
        <f t="shared" si="1"/>
        <v>0.175</v>
      </c>
    </row>
    <row r="6">
      <c r="B6" s="6" t="str">
        <f>'仮オッズ'!A5</f>
        <v>みわ</v>
      </c>
      <c r="C6" s="8">
        <f>'仮オッズ'!D5</f>
        <v>13.33333333</v>
      </c>
      <c r="E6" s="6" t="str">
        <f>'仮オッズ'!A5</f>
        <v>みわ</v>
      </c>
      <c r="F6" s="6">
        <f>1/(1-(1-(1/'仮オッズ'!D5))^3)</f>
        <v>4.795085038</v>
      </c>
      <c r="H6" s="6" t="str">
        <f>'仮オッズ'!A5</f>
        <v>みわ</v>
      </c>
      <c r="I6" s="6">
        <f t="shared" si="1"/>
        <v>0.075</v>
      </c>
    </row>
    <row r="7">
      <c r="B7" s="6" t="str">
        <f>'仮オッズ'!A6</f>
        <v>こーた</v>
      </c>
      <c r="C7" s="8">
        <f>'仮オッズ'!D6</f>
        <v>13.33333333</v>
      </c>
      <c r="E7" s="6" t="str">
        <f>'仮オッズ'!A6</f>
        <v>こーた</v>
      </c>
      <c r="F7" s="6">
        <f>1/(1-(1-(1/'仮オッズ'!D6))^3)</f>
        <v>4.795085038</v>
      </c>
      <c r="H7" s="6" t="str">
        <f>'仮オッズ'!A6</f>
        <v>こーた</v>
      </c>
      <c r="I7" s="6">
        <f t="shared" si="1"/>
        <v>0.075</v>
      </c>
    </row>
    <row r="8">
      <c r="B8" s="6" t="str">
        <f>'仮オッズ'!A7</f>
        <v>いずみ</v>
      </c>
      <c r="C8" s="8">
        <f>'仮オッズ'!D7</f>
        <v>40</v>
      </c>
      <c r="E8" s="6" t="str">
        <f>'仮オッズ'!A7</f>
        <v>いずみ</v>
      </c>
      <c r="F8" s="6">
        <f>1/(1-(1-(1/'仮オッズ'!D7))^3)</f>
        <v>13.67229225</v>
      </c>
      <c r="H8" s="6" t="str">
        <f>'仮オッズ'!A7</f>
        <v>いずみ</v>
      </c>
      <c r="I8" s="6">
        <f t="shared" si="1"/>
        <v>0.025</v>
      </c>
    </row>
    <row r="9">
      <c r="B9" s="6" t="str">
        <f>'仮オッズ'!A8</f>
        <v>未選択</v>
      </c>
      <c r="C9" s="6" t="str">
        <f>'仮オッズ'!D8</f>
        <v/>
      </c>
      <c r="E9" s="6" t="str">
        <f>'仮オッズ'!A8</f>
        <v>未選択</v>
      </c>
      <c r="H9" s="6" t="str">
        <f>'仮オッズ'!A8</f>
        <v>未選択</v>
      </c>
    </row>
    <row r="10">
      <c r="B10" s="6" t="str">
        <f>'仮オッズ'!A9</f>
        <v/>
      </c>
      <c r="C10" s="6" t="str">
        <f>'仮オッズ'!D9:D18</f>
        <v/>
      </c>
      <c r="E10" s="6" t="str">
        <f>'仮オッズ'!A9</f>
        <v/>
      </c>
      <c r="H10" s="6" t="str">
        <f>'仮オッズ'!A9</f>
        <v/>
      </c>
    </row>
    <row r="11">
      <c r="B11" s="6" t="str">
        <f>'仮オッズ'!A10</f>
        <v/>
      </c>
      <c r="E11" s="6" t="str">
        <f>'仮オッズ'!A10</f>
        <v/>
      </c>
      <c r="H11" s="6" t="str">
        <f>'仮オッズ'!A10</f>
        <v/>
      </c>
    </row>
    <row r="12">
      <c r="B12" s="1" t="s">
        <v>30</v>
      </c>
      <c r="F12" s="14" t="s">
        <v>6</v>
      </c>
      <c r="G12" s="15"/>
      <c r="H12" s="16"/>
    </row>
    <row r="13">
      <c r="F13" s="17">
        <f>IFS('B馬券購入'!B3='仮オッズ'!$A$2,$I$3,'B馬券購入'!B3='仮オッズ'!$A$3,$I$4,'B馬券購入'!B3='仮オッズ'!$A$4,$I$5,'B馬券購入'!B3='仮オッズ'!$A$5,$I$6,'B馬券購入'!B3='仮オッズ'!$A$6,$I$7,'B馬券購入'!B3='仮オッズ'!$A$7,$I$8)</f>
        <v>0.075</v>
      </c>
      <c r="G13" s="6">
        <f>IFS('B馬券購入'!C3='仮オッズ'!$A$2,$I$3,'B馬券購入'!C3='仮オッズ'!$A$3,$I$4,'B馬券購入'!C3='仮オッズ'!$A$4,$I$5,'B馬券購入'!C3='仮オッズ'!$A$5,$I$6,'B馬券購入'!C3='仮オッズ'!$A$6,$I$7,'B馬券購入'!C3='仮オッズ'!$A$7,$I$8)</f>
        <v>0.025</v>
      </c>
      <c r="H13" s="18">
        <f>IFS('B馬券購入'!D3='仮オッズ'!$A$2,$I$3,'B馬券購入'!D3='仮オッズ'!$A$3,$I$4,'B馬券購入'!D3='仮オッズ'!$A$4,$I$5,'B馬券購入'!D3='仮オッズ'!$A$5,$I$6,'B馬券購入'!D3='仮オッズ'!$A$6,$I$7,'B馬券購入'!D3='仮オッズ'!$A$7,$I$8)</f>
        <v>0.175</v>
      </c>
    </row>
    <row r="14">
      <c r="A14" s="1" t="s">
        <v>3</v>
      </c>
      <c r="B14" s="8">
        <f>VLOOKUP('B馬券購入'!B$3,'②の計算式'!単勝,2,false)</f>
        <v>13.33333333</v>
      </c>
      <c r="F14" s="17">
        <f>IFS('B馬券購入'!B4='仮オッズ'!$A$2,$I$3,'B馬券購入'!B4='仮オッズ'!$A$3,$I$4,'B馬券購入'!B4='仮オッズ'!$A$4,$I$5,'B馬券購入'!B4='仮オッズ'!$A$5,$I$6,'B馬券購入'!B4='仮オッズ'!$A$6,$I$7,'B馬券購入'!B4='仮オッズ'!$A$7,$I$8)</f>
        <v>0.175</v>
      </c>
      <c r="G14" s="6">
        <f>IFS('B馬券購入'!C4='仮オッズ'!$A$2,$I$3,'B馬券購入'!C4='仮オッズ'!$A$3,$I$4,'B馬券購入'!C4='仮オッズ'!$A$4,$I$5,'B馬券購入'!C4='仮オッズ'!$A$5,$I$6,'B馬券購入'!C4='仮オッズ'!$A$6,$I$7,'B馬券購入'!C4='仮オッズ'!$A$7,$I$8)</f>
        <v>0.025</v>
      </c>
      <c r="H14" s="18">
        <f>IFS('B馬券購入'!D4='仮オッズ'!$A$2,$I$3,'B馬券購入'!D4='仮オッズ'!$A$3,$I$4,'B馬券購入'!D4='仮オッズ'!$A$4,$I$5,'B馬券購入'!D4='仮オッズ'!$A$5,$I$6,'B馬券購入'!D4='仮オッズ'!$A$6,$I$7,'B馬券購入'!D4='仮オッズ'!$A$7,$I$8)</f>
        <v>0.075</v>
      </c>
    </row>
    <row r="15">
      <c r="A15" s="1" t="s">
        <v>4</v>
      </c>
      <c r="B15" s="6">
        <f>VLOOKUP('B馬券購入'!B3,'②の計算式'!複勝,2,false)</f>
        <v>4.795085038</v>
      </c>
      <c r="F15" s="17">
        <f>IFS('B馬券購入'!B5='仮オッズ'!$A$2,$I$3,'B馬券購入'!B5='仮オッズ'!$A$3,$I$4,'B馬券購入'!B5='仮オッズ'!$A$4,$I$5,'B馬券購入'!B5='仮オッズ'!$A$5,$I$6,'B馬券購入'!B5='仮オッズ'!$A$6,$I$7,'B馬券購入'!B5='仮オッズ'!$A$7,$I$8)</f>
        <v>0.075</v>
      </c>
      <c r="G15" s="6">
        <f>IFS('B馬券購入'!C5='仮オッズ'!$A$2,$I$3,'B馬券購入'!C5='仮オッズ'!$A$3,$I$4,'B馬券購入'!C5='仮オッズ'!$A$4,$I$5,'B馬券購入'!C5='仮オッズ'!$A$5,$I$6,'B馬券購入'!C5='仮オッズ'!$A$6,$I$7,'B馬券購入'!C5='仮オッズ'!$A$7,$I$8)</f>
        <v>0.025</v>
      </c>
      <c r="H15" s="18">
        <f>IFS('B馬券購入'!D5='仮オッズ'!$A$2,$I$3,'B馬券購入'!D5='仮オッズ'!$A$3,$I$4,'B馬券購入'!D5='仮オッズ'!$A$4,$I$5,'B馬券購入'!D5='仮オッズ'!$A$5,$I$6,'B馬券購入'!D5='仮オッズ'!$A$6,$I$7,'B馬券購入'!D5='仮オッズ'!$A$7,$I$8)</f>
        <v>0.075</v>
      </c>
    </row>
    <row r="16">
      <c r="A16" s="1" t="s">
        <v>31</v>
      </c>
      <c r="B16" s="1">
        <f>1/((F13*(G13/(1-F13))*(H13/(1-F13-G13))))</f>
        <v>2537.142857</v>
      </c>
      <c r="F16" s="17">
        <f>IFS('B馬券購入'!B6='仮オッズ'!$A$2,$I$3,'B馬券購入'!B6='仮オッズ'!$A$3,$I$4,'B馬券購入'!B6='仮オッズ'!$A$4,$I$5,'B馬券購入'!B6='仮オッズ'!$A$5,$I$6,'B馬券購入'!B6='仮オッズ'!$A$6,$I$7,'B馬券購入'!B6='仮オッズ'!$A$7,$I$8)</f>
        <v>0.075</v>
      </c>
      <c r="G16" s="6">
        <f>IFS('B馬券購入'!C6='仮オッズ'!$A$2,$I$3,'B馬券購入'!C6='仮オッズ'!$A$3,$I$4,'B馬券購入'!C6='仮オッズ'!$A$4,$I$5,'B馬券購入'!C6='仮オッズ'!$A$5,$I$6,'B馬券購入'!C6='仮オッズ'!$A$6,$I$7,'B馬券購入'!C6='仮オッズ'!$A$7,$I$8)</f>
        <v>0.075</v>
      </c>
      <c r="H16" s="18">
        <f>IFS('B馬券購入'!D6='仮オッズ'!$A$2,$I$3,'B馬券購入'!D6='仮オッズ'!$A$3,$I$4,'B馬券購入'!D6='仮オッズ'!$A$4,$I$5,'B馬券購入'!D6='仮オッズ'!$A$5,$I$6,'B馬券購入'!D6='仮オッズ'!$A$6,$I$7,'B馬券購入'!D6='仮オッズ'!$A$7,$I$8)</f>
        <v>0.175</v>
      </c>
    </row>
    <row r="17">
      <c r="A17" s="1" t="s">
        <v>37</v>
      </c>
      <c r="B17" s="6">
        <f>1/(F13*(G13/(1-F13))*(H13/(1-F13-G13))+F13*(H13/(1-F13))*(G13/(1-F13-H13))+G13*(F13/(1-G13))*(H13/(1-F13-G13))+G13*(H13/(1-G13))*(F13/(1-G13-H13))+H13*(F13/(1-H13))*(G13/(1-H13-F13))+H13*(G13/(1-H13))*(F13/(1-G13-F13)))</f>
        <v>379.6587873</v>
      </c>
      <c r="F17" s="17" t="str">
        <f>IFS('B馬券購入'!B7='仮オッズ'!$A$2,$I$3,'B馬券購入'!B7='仮オッズ'!$A$3,$I$4,'B馬券購入'!B7='仮オッズ'!$A$4,$I$5,'B馬券購入'!B7='仮オッズ'!$A$5,$I$6,'B馬券購入'!B7='仮オッズ'!$A$6,$I$7,'B馬券購入'!B7='仮オッズ'!$A$7,$I$8)</f>
        <v>#N/A</v>
      </c>
      <c r="G17" s="6" t="str">
        <f>IFS('B馬券購入'!C7='仮オッズ'!$A$2,$I$3,'B馬券購入'!C7='仮オッズ'!$A$3,$I$4,'B馬券購入'!C7='仮オッズ'!$A$4,$I$5,'B馬券購入'!C7='仮オッズ'!$A$5,$I$6,'B馬券購入'!C7='仮オッズ'!$A$6,$I$7,'B馬券購入'!C7='仮オッズ'!$A$7,$I$8)</f>
        <v>#N/A</v>
      </c>
      <c r="H17" s="18" t="str">
        <f>IFS('B馬券購入'!D7='仮オッズ'!$A$2,$I$3,'B馬券購入'!D7='仮オッズ'!$A$3,$I$4,'B馬券購入'!D7='仮オッズ'!$A$4,$I$5,'B馬券購入'!D7='仮オッズ'!$A$5,$I$6,'B馬券購入'!D7='仮オッズ'!$A$6,$I$7,'B馬券購入'!D7='仮オッズ'!$A$7,$I$8)</f>
        <v>#N/A</v>
      </c>
    </row>
    <row r="18">
      <c r="F18" s="17" t="str">
        <f>IFS('B馬券購入'!B8='仮オッズ'!$A$2,$I$3,'B馬券購入'!B8='仮オッズ'!$A$3,$I$4,'B馬券購入'!B8='仮オッズ'!$A$4,$I$5,'B馬券購入'!B8='仮オッズ'!$A$5,$I$6,'B馬券購入'!B8='仮オッズ'!$A$6,$I$7,'B馬券購入'!B8='仮オッズ'!$A$7,$I$8)</f>
        <v>#N/A</v>
      </c>
      <c r="G18" s="6" t="str">
        <f>IFS('B馬券購入'!C8='仮オッズ'!$A$2,$I$3,'B馬券購入'!C8='仮オッズ'!$A$3,$I$4,'B馬券購入'!C8='仮オッズ'!$A$4,$I$5,'B馬券購入'!C8='仮オッズ'!$A$5,$I$6,'B馬券購入'!C8='仮オッズ'!$A$6,$I$7,'B馬券購入'!C8='仮オッズ'!$A$7,$I$8)</f>
        <v>#N/A</v>
      </c>
      <c r="H18" s="18" t="str">
        <f>IFS('B馬券購入'!D8='仮オッズ'!$A$2,$I$3,'B馬券購入'!D8='仮オッズ'!$A$3,$I$4,'B馬券購入'!D8='仮オッズ'!$A$4,$I$5,'B馬券購入'!D8='仮オッズ'!$A$5,$I$6,'B馬券購入'!D8='仮オッズ'!$A$6,$I$7,'B馬券購入'!D8='仮オッズ'!$A$7,$I$8)</f>
        <v>#N/A</v>
      </c>
    </row>
    <row r="19">
      <c r="B19" s="1" t="s">
        <v>41</v>
      </c>
      <c r="C19" s="1" t="s">
        <v>42</v>
      </c>
      <c r="D19" s="1" t="s">
        <v>43</v>
      </c>
      <c r="F19" s="22" t="str">
        <f>IFS('B馬券購入'!B9='仮オッズ'!$A$2,$I$3,'B馬券購入'!B9='仮オッズ'!$A$3,$I$4,'B馬券購入'!B9='仮オッズ'!$A$4,$I$5,'B馬券購入'!B9='仮オッズ'!$A$5,$I$6,'B馬券購入'!B9='仮オッズ'!$A$6,$I$7,'B馬券購入'!B9='仮オッズ'!$A$7,$I$8)</f>
        <v>#N/A</v>
      </c>
      <c r="G19" s="23" t="str">
        <f>IFS('B馬券購入'!C9='仮オッズ'!$A$2,$I$3,'B馬券購入'!C9='仮オッズ'!$A$3,$I$4,'B馬券購入'!C9='仮オッズ'!$A$4,$I$5,'B馬券購入'!C9='仮オッズ'!$A$5,$I$6,'B馬券購入'!C9='仮オッズ'!$A$6,$I$7,'B馬券購入'!C9='仮オッズ'!$A$7,$I$8)</f>
        <v>#N/A</v>
      </c>
      <c r="H19" s="24" t="str">
        <f>IFS('B馬券購入'!D9='仮オッズ'!$A$2,$I$3,'B馬券購入'!D9='仮オッズ'!$A$3,$I$4,'B馬券購入'!D9='仮オッズ'!$A$4,$I$5,'B馬券購入'!D9='仮オッズ'!$A$5,$I$6,'B馬券購入'!D9='仮オッズ'!$A$6,$I$7,'B馬券購入'!D9='仮オッズ'!$A$7,$I$8)</f>
        <v>#N/A</v>
      </c>
    </row>
    <row r="20">
      <c r="A20" s="1" t="s">
        <v>30</v>
      </c>
      <c r="B20" s="6">
        <f>IFS('B馬券購入'!A3="単勝",$B$14,'B馬券購入'!A3="複勝",$B$15,'B馬券購入'!A3="三連単",$B$16,'B馬券購入'!A3="三連複",$B$17)</f>
        <v>379.6587873</v>
      </c>
      <c r="C20" s="6">
        <f t="shared" ref="C20:C24" si="2">IF(B20&lt;1.1,1.1,B20)</f>
        <v>379.6587873</v>
      </c>
      <c r="D20" s="6">
        <f t="shared" ref="D20:D24" si="3">IFERROR(C20,"未選択")</f>
        <v>379.6587873</v>
      </c>
    </row>
    <row r="21">
      <c r="A21" s="1" t="s">
        <v>44</v>
      </c>
      <c r="B21" s="6">
        <f>IFS('B馬券購入'!A4="単勝",$G$22,'B馬券購入'!A4="複勝",$G$23,'B馬券購入'!A4="三連単",$G$24,'B馬券購入'!A4="三連複",$G$25)</f>
        <v>365.169817</v>
      </c>
      <c r="C21" s="6">
        <f t="shared" si="2"/>
        <v>365.169817</v>
      </c>
      <c r="D21" s="6">
        <f t="shared" si="3"/>
        <v>365.169817</v>
      </c>
      <c r="F21" s="14" t="s">
        <v>45</v>
      </c>
      <c r="G21" s="25" t="s">
        <v>12</v>
      </c>
      <c r="H21" s="26" t="s">
        <v>13</v>
      </c>
      <c r="I21" s="14" t="s">
        <v>46</v>
      </c>
      <c r="J21" s="15"/>
      <c r="K21" s="26" t="s">
        <v>13</v>
      </c>
      <c r="L21" s="14" t="s">
        <v>47</v>
      </c>
      <c r="M21" s="15"/>
      <c r="N21" s="16"/>
      <c r="O21" s="14" t="s">
        <v>48</v>
      </c>
      <c r="P21" s="15"/>
      <c r="Q21" s="16"/>
    </row>
    <row r="22">
      <c r="A22" s="1" t="s">
        <v>49</v>
      </c>
      <c r="B22" s="6">
        <f>IFS('B馬券購入'!A5="単勝",$J$22,'B馬券購入'!A5="複勝",$J$23,'B馬券購入'!A5="三連単",$J$24,'B馬券購入'!A5="三連複",$J$25)</f>
        <v>1008.396269</v>
      </c>
      <c r="C22" s="6">
        <f t="shared" si="2"/>
        <v>1008.396269</v>
      </c>
      <c r="D22" s="6">
        <f t="shared" si="3"/>
        <v>1008.396269</v>
      </c>
      <c r="F22" s="27" t="s">
        <v>3</v>
      </c>
      <c r="G22" s="8">
        <f>VLOOKUP('B馬券購入'!B$4,'②の計算式'!単勝,2,false)</f>
        <v>5.714285714</v>
      </c>
      <c r="H22" s="18" t="str">
        <f>IF('B馬券購入'!B4='仮オッズ'!$B$17,"的中","不的中")</f>
        <v>不的中</v>
      </c>
      <c r="I22" s="27" t="s">
        <v>3</v>
      </c>
      <c r="J22" s="8">
        <f>VLOOKUP('B馬券購入'!$B$5,'②の計算式'!単勝,2,false)</f>
        <v>13.33333333</v>
      </c>
      <c r="K22" s="18" t="str">
        <f>IF('B馬券購入'!B5='仮オッズ'!$B$17,"的中","不的中")</f>
        <v>不的中</v>
      </c>
      <c r="L22" s="27" t="s">
        <v>3</v>
      </c>
      <c r="M22" s="8">
        <f>VLOOKUP('B馬券購入'!$B$6,'②の計算式'!単勝,2,false)</f>
        <v>13.33333333</v>
      </c>
      <c r="N22" s="18" t="str">
        <f>IF('B馬券購入'!B6='仮オッズ'!$B$17,"的中","不的中")</f>
        <v>不的中</v>
      </c>
      <c r="O22" s="27" t="s">
        <v>3</v>
      </c>
      <c r="P22" s="6" t="str">
        <f>VLOOKUP('B馬券購入'!$B$7,'②の計算式'!単勝,2,false)</f>
        <v>#N/A</v>
      </c>
      <c r="Q22" s="18" t="str">
        <f>IF('B馬券購入'!B7='仮オッズ'!$B$17,"的中","不的中")</f>
        <v>不的中</v>
      </c>
    </row>
    <row r="23">
      <c r="A23" s="1" t="s">
        <v>47</v>
      </c>
      <c r="B23" s="6">
        <f>IFS('B馬券購入'!A6="単勝",$M$22,'B馬券購入'!A6="複勝",$M$23,'B馬券購入'!A6="三連単",$M$24,'B馬券購入'!A6="三連複",$M$25)</f>
        <v>122.6134947</v>
      </c>
      <c r="C23" s="6">
        <f t="shared" si="2"/>
        <v>122.6134947</v>
      </c>
      <c r="D23" s="6">
        <f t="shared" si="3"/>
        <v>122.6134947</v>
      </c>
      <c r="F23" s="27" t="s">
        <v>4</v>
      </c>
      <c r="G23" s="6">
        <f>VLOOKUP('B馬券購入'!$B$4,'②の計算式'!複勝,2,false)</f>
        <v>2.280582974</v>
      </c>
      <c r="H23" s="18" t="str">
        <f>IF(OR('B馬券購入'!B4='仮オッズ'!$B$17,'B馬券購入'!B4='仮オッズ'!$B$18,'B馬券購入'!B4='仮オッズ'!$B$19),"的中","不的中")</f>
        <v>的中</v>
      </c>
      <c r="I23" s="27" t="s">
        <v>4</v>
      </c>
      <c r="J23" s="6">
        <f>VLOOKUP('B馬券購入'!$B$5,'②の計算式'!複勝,2,false)</f>
        <v>4.795085038</v>
      </c>
      <c r="K23" s="18" t="str">
        <f>IF(OR('B馬券購入'!B5='仮オッズ'!$B$17,'B馬券購入'!B5='仮オッズ'!$B$18,'B馬券購入'!B5='仮オッズ'!$B$19),"的中","不的中")</f>
        <v>的中</v>
      </c>
      <c r="L23" s="27" t="s">
        <v>4</v>
      </c>
      <c r="M23" s="6">
        <f>VLOOKUP('B馬券購入'!$B$6,'②の計算式'!複勝,2,false)</f>
        <v>4.795085038</v>
      </c>
      <c r="N23" s="18" t="str">
        <f>IF(OR('B馬券購入'!B6='仮オッズ'!$B$17,'B馬券購入'!B6='仮オッズ'!$B$18,'B馬券購入'!B6='仮オッズ'!$B$19),"的中","不的中")</f>
        <v>的中</v>
      </c>
      <c r="O23" s="27" t="s">
        <v>4</v>
      </c>
      <c r="P23" s="6" t="str">
        <f>VLOOKUP('B馬券購入'!$B$7,'②の計算式'!複勝,2,false)</f>
        <v>#N/A</v>
      </c>
      <c r="Q23" s="18" t="str">
        <f>IF(OR('B馬券購入'!B7='仮オッズ'!$B$17,'B馬券購入'!B7='仮オッズ'!$B$18,'B馬券購入'!B7='仮オッズ'!$B$19),"的中","不的中")</f>
        <v>不的中</v>
      </c>
    </row>
    <row r="24">
      <c r="A24" s="1" t="s">
        <v>48</v>
      </c>
      <c r="B24" s="6" t="str">
        <f>IFS('B馬券購入'!A7="単勝",$P$22,'B馬券購入'!A7="複勝",$P$23,'B馬券購入'!A7="三連単",$P$24,'B馬券購入'!A7="三連複",$P$25)</f>
        <v>#N/A</v>
      </c>
      <c r="C24" s="6" t="str">
        <f t="shared" si="2"/>
        <v>#N/A</v>
      </c>
      <c r="D24" s="6" t="str">
        <f t="shared" si="3"/>
        <v>未選択</v>
      </c>
      <c r="F24" s="27" t="s">
        <v>31</v>
      </c>
      <c r="G24" s="6">
        <f>1/((F14*(G14/(1-F14))*(H14/(1-F14-G14))))</f>
        <v>2011.428571</v>
      </c>
      <c r="H24" s="18" t="str">
        <f>if(AND('B馬券購入'!B4='仮オッズ'!$B$17,'B馬券購入'!C4='仮オッズ'!$B$18,'B馬券購入'!D4='仮オッズ'!$B$19),"的中","不的中")</f>
        <v>不的中</v>
      </c>
      <c r="I24" s="27" t="s">
        <v>31</v>
      </c>
      <c r="J24" s="6">
        <f>1/((F15*(G15/(1-F15))*(H15/(1-F15-G15))))</f>
        <v>5920</v>
      </c>
      <c r="K24" s="18" t="str">
        <f>if(AND('B馬券購入'!B5='仮オッズ'!$B$17,'B馬券購入'!C5='仮オッズ'!$B$18,'B馬券購入'!D5='仮オッズ'!$B$19),"的中","不的中")</f>
        <v>不的中</v>
      </c>
      <c r="L24" s="27" t="s">
        <v>31</v>
      </c>
      <c r="M24" s="6">
        <f>1/((F16*(G16/(1-F16))*(H16/(1-F16-G16))))</f>
        <v>798.7301587</v>
      </c>
      <c r="N24" s="18" t="str">
        <f>if(AND('B馬券購入'!B6='仮オッズ'!$B$17,'B馬券購入'!C6='仮オッズ'!$B$18,'B馬券購入'!D6='仮オッズ'!$B$19),"的中","不的中")</f>
        <v>不的中</v>
      </c>
      <c r="O24" s="27" t="s">
        <v>31</v>
      </c>
      <c r="P24" s="6" t="str">
        <f>1/((F17*(G17/(1-F17))*(H17/(1-F17-G17))))</f>
        <v>#N/A</v>
      </c>
      <c r="Q24" s="18" t="str">
        <f>if(AND('B馬券購入'!B7='仮オッズ'!$B$17,'B馬券購入'!C7='仮オッズ'!$B$18,'B馬券購入'!D7='仮オッズ'!$B$19),"的中","不的中")</f>
        <v>不的中</v>
      </c>
    </row>
    <row r="25">
      <c r="F25" s="28" t="s">
        <v>37</v>
      </c>
      <c r="G25" s="23">
        <f>1/(F14*(G14/(1-F14))*(H14/(1-F14-G14))+F14*(H14/(1-F14))*(G14/(1-F14-H14))+G14*(F14/(1-G14))*(H14/(1-F14-G14))+G14*(H14/(1-G14))*(F14/(1-G14-H14))+H14*(F14/(1-H14))*(G14/(1-H14-F14))+H14*(G14/(1-H14))*(F14/(1-G14-F14)))</f>
        <v>365.169817</v>
      </c>
      <c r="H25" s="24" t="str">
        <f>IF(AND(OR('仮オッズ'!$B$17='B馬券購入'!B4,'仮オッズ'!$B$18='B馬券購入'!B4,'仮オッズ'!$B$19='B馬券購入'!B4),OR('仮オッズ'!$B$17='B馬券購入'!C4,'仮オッズ'!$B$18='B馬券購入'!C4,'仮オッズ'!$B$19='B馬券購入'!C4),OR('仮オッズ'!$B$17='B馬券購入'!D4,'仮オッズ'!$B$18='B馬券購入'!D4,'仮オッズ'!$B$19='B馬券購入'!D4)),"的中","不的中")</f>
        <v>不的中</v>
      </c>
      <c r="I25" s="28" t="s">
        <v>37</v>
      </c>
      <c r="J25" s="23">
        <f>1/(F15*(G15*(1-F15))*(H15/(1-F15-G15))+F15*(H15/(1-F15))*(G15/(1-F15-H15))+G15*(F15/(1-G15))*(H15/(1-F15-G15))+G15*(H15/(1-G15))*(F15/(1-G15-H15))+H15*(F15/(1-H15))*(G15/(1-H15-F15))+H15*(G15/(1-H15))*(F15/(1-G15-F15)))</f>
        <v>1008.396269</v>
      </c>
      <c r="K25" s="24" t="str">
        <f>IF(AND(OR('仮オッズ'!$B$17='B馬券購入'!B5,'仮オッズ'!$B$18='B馬券購入'!B5,'仮オッズ'!$B$19='B馬券購入'!B5),OR('仮オッズ'!$B$17='B馬券購入'!C5,'仮オッズ'!$B$18='B馬券購入'!C5,'仮オッズ'!$B$19='B馬券購入'!C5),OR('仮オッズ'!$B$17='B馬券購入'!D5,'仮オッズ'!$B$18='B馬券購入'!D5,'仮オッズ'!$B$19='B馬券購入'!D5)),"的中","不的中")</f>
        <v>不的中</v>
      </c>
      <c r="L25" s="28" t="s">
        <v>37</v>
      </c>
      <c r="M25" s="23">
        <f>1/(F16*(G16*(1-F16))*(H16/(1-F16-G16))+F16*(H16/(1-F16))*(G16/(1-F16-H16))+G16*(F16/(1-G16))*(H16/(1-F16-G16))+G16*(H16/(1-G16))*(F16/(1-G16-H16))+H16*(F16/(1-H16))*(G16/(1-H16-F16))+H16*(G16/(1-H16))*(F16/(1-G16-F16)))</f>
        <v>122.6134947</v>
      </c>
      <c r="N25" s="24" t="str">
        <f>IF(AND(OR('仮オッズ'!$B$17='B馬券購入'!B6,'仮オッズ'!$B$18='B馬券購入'!B6,'仮オッズ'!$B$19='B馬券購入'!B6),OR('仮オッズ'!$B$17='B馬券購入'!C6,'仮オッズ'!$B$18='B馬券購入'!C6,'仮オッズ'!$B$19='B馬券購入'!C6),OR('仮オッズ'!$B$17='B馬券購入'!D6,'仮オッズ'!$B$18='B馬券購入'!D6,'仮オッズ'!$B$19='B馬券購入'!D6)),"的中","不的中")</f>
        <v>的中</v>
      </c>
      <c r="O25" s="28" t="s">
        <v>37</v>
      </c>
      <c r="P25" s="23" t="str">
        <f>1/(F17*(G17*(1-F17))*(H17/(1-F17-G17))+F17*(H17/(1-F17))*(G17/(1-F17-H17))+G17*(F17/(1-G17))*(H17/(1-F17-G17))+G17*(H17/(1-G17))*(F17/(1-G17-H17))+H17*(F17/(1-H17))*(G17/(1-H17-F17))+H17*(G17/(1-H17))*(F17/(1-G17-F17)))</f>
        <v>#N/A</v>
      </c>
      <c r="Q25" s="24" t="str">
        <f>IF(AND(OR('仮オッズ'!$B$17='B馬券購入'!B7,'仮オッズ'!$B$18='B馬券購入'!B7,'仮オッズ'!$B$19='B馬券購入'!B7),OR('仮オッズ'!$B$17='B馬券購入'!C7,'仮オッズ'!$B$18='B馬券購入'!C7,'仮オッズ'!$B$19='B馬券購入'!C7),OR('仮オッズ'!$B$17='B馬券購入'!D7,'仮オッズ'!$B$18='B馬券購入'!D7,'仮オッズ'!$B$19='B馬券購入'!D7)),"的中","不的中")</f>
        <v>不的中</v>
      </c>
    </row>
    <row r="27">
      <c r="B27" s="1" t="s">
        <v>50</v>
      </c>
    </row>
    <row r="28">
      <c r="B28" s="1" t="s">
        <v>51</v>
      </c>
      <c r="C28" s="6" t="str">
        <f>IF('B馬券購入'!B3='仮オッズ'!$B$17,"的中","不的中")</f>
        <v>不的中</v>
      </c>
    </row>
    <row r="29">
      <c r="B29" s="1" t="s">
        <v>52</v>
      </c>
      <c r="C29" s="6" t="str">
        <f>if(AND('B馬券購入'!B3='仮オッズ'!$B$17,'B馬券購入'!C3='仮オッズ'!$B$18,'B馬券購入'!D3='仮オッズ'!$B$19),"的中","不的中")</f>
        <v>不的中</v>
      </c>
    </row>
    <row r="30">
      <c r="B30" s="1" t="s">
        <v>53</v>
      </c>
      <c r="C30" s="6" t="str">
        <f>IF(OR('B馬券購入'!B3='仮オッズ'!$B$17,'B馬券購入'!B3='仮オッズ'!$B$18,'B馬券購入'!B3='仮オッズ'!$B$19),"的中","不的中")</f>
        <v>的中</v>
      </c>
    </row>
    <row r="31">
      <c r="B31" s="1" t="s">
        <v>54</v>
      </c>
      <c r="C31" s="6" t="str">
        <f>IF(AND(OR('仮オッズ'!$B$17='B馬券購入'!B3,'仮オッズ'!$B$18='B馬券購入'!B3,'仮オッズ'!$B$19='B馬券購入'!B3),OR('仮オッズ'!$B$17='B馬券購入'!C3,'仮オッズ'!$B$18='B馬券購入'!C3,'仮オッズ'!$B$19='B馬券購入'!C3),OR('仮オッズ'!$B$17='B馬券購入'!D3,'仮オッズ'!$B$18='B馬券購入'!D3,'仮オッズ'!$B$19='B馬券購入'!D3)),"的中","不的中")</f>
        <v>不的中</v>
      </c>
    </row>
    <row r="34">
      <c r="B34" s="1" t="s">
        <v>43</v>
      </c>
      <c r="C34" s="1" t="s">
        <v>55</v>
      </c>
      <c r="F34" s="1" t="s">
        <v>56</v>
      </c>
    </row>
    <row r="35">
      <c r="A35" s="1" t="s">
        <v>30</v>
      </c>
      <c r="B35" s="6" t="str">
        <f>IFS('B馬券購入'!A3="単勝",$C$28,'B馬券購入'!A3="三連単",$C$29,'B馬券購入'!A3="複勝",$C$30,'B馬券購入'!A3="三連複",$C$31,'B馬券購入'!A3="未選択","×")</f>
        <v>不的中</v>
      </c>
      <c r="C35" s="6">
        <f>IFS(B35="的中",'B馬券購入'!E3*'B馬券購入'!F3,B35="不的中",0,B35="×",0)</f>
        <v>0</v>
      </c>
      <c r="F35" s="29">
        <f>CEILING(SUM(C35:C39),5)</f>
        <v>36785</v>
      </c>
    </row>
    <row r="36">
      <c r="A36" s="1" t="s">
        <v>44</v>
      </c>
      <c r="B36" s="6" t="str">
        <f>IFS('B馬券購入'!A4="単勝",$H$22,'B馬券購入'!A4="三連単",$H$24,'B馬券購入'!A4="複勝",$H$23,'B馬券購入'!A4="三連複",$H$25,'B馬券購入'!A4="未選択","×")</f>
        <v>不的中</v>
      </c>
      <c r="C36" s="6">
        <f>IFS(B36="的中",'B馬券購入'!E4*'B馬券購入'!F4,B36="不的中",0,B36="×",0)</f>
        <v>0</v>
      </c>
    </row>
    <row r="37">
      <c r="A37" s="1" t="s">
        <v>49</v>
      </c>
      <c r="B37" s="6" t="str">
        <f>IFS('B馬券購入'!A5="単勝",$K$22,'B馬券購入'!A5="三連単",$K$24,'B馬券購入'!A5="複勝",$K$23,'B馬券購入'!A5="三連複",$K$25,'B馬券購入'!A5="未選択","×")</f>
        <v>不的中</v>
      </c>
      <c r="C37" s="6">
        <f>IFS(B37="的中",'B馬券購入'!E5*'B馬券購入'!F5,B37="不的中",0,B37="×",0)</f>
        <v>0</v>
      </c>
    </row>
    <row r="38">
      <c r="A38" s="1" t="s">
        <v>47</v>
      </c>
      <c r="B38" s="6" t="str">
        <f>IFS('B馬券購入'!A6="単勝",$N$22,'B馬券購入'!A6="三連単",$N$24,'B馬券購入'!A6="複勝",$N$23,'B馬券購入'!A6="三連複",$N$25,'B馬券購入'!A6="未選択","×")</f>
        <v>的中</v>
      </c>
      <c r="C38" s="6">
        <f>IFS(B38="的中",'B馬券購入'!E6*'B馬券購入'!F6,B38="不的中",0,B38="×",0)</f>
        <v>36784.04842</v>
      </c>
    </row>
    <row r="39">
      <c r="A39" s="1" t="s">
        <v>48</v>
      </c>
      <c r="B39" s="6" t="str">
        <f>IFS('B馬券購入'!A7="単勝",$Q$22,'B馬券購入'!A7="三連単",$Q$24,'B馬券購入'!A7="複勝",$Q$23,'B馬券購入'!A7="三連複",$Q$25,'B馬券購入'!A7="未選択","×")</f>
        <v>×</v>
      </c>
      <c r="C39" s="6">
        <f>IFS(B39="的中",'B馬券購入'!E7*'B馬券購入'!F7,B39="不的中",0,B39="×",0)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4" width="19.75"/>
    <col customWidth="1" min="7" max="7" width="12.38"/>
  </cols>
  <sheetData>
    <row r="2" ht="30.75" customHeight="1">
      <c r="A2" s="2" t="s">
        <v>1</v>
      </c>
      <c r="B2" s="4" t="s">
        <v>10</v>
      </c>
      <c r="C2" s="5"/>
      <c r="D2" s="7"/>
      <c r="E2" s="2" t="s">
        <v>11</v>
      </c>
      <c r="F2" s="2" t="s">
        <v>12</v>
      </c>
      <c r="G2" s="2" t="s">
        <v>13</v>
      </c>
      <c r="H2" s="2" t="s">
        <v>14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30.75" customHeight="1">
      <c r="A3" s="11" t="s">
        <v>37</v>
      </c>
      <c r="B3" s="11" t="s">
        <v>17</v>
      </c>
      <c r="C3" s="11" t="s">
        <v>19</v>
      </c>
      <c r="D3" s="11" t="s">
        <v>16</v>
      </c>
      <c r="E3" s="11">
        <v>300.0</v>
      </c>
      <c r="F3" s="12">
        <f>'②の計算式'!D20</f>
        <v>379.6587873</v>
      </c>
      <c r="G3" s="13" t="str">
        <f>IF(COUNTIF('仮オッズ'!$A$17:$B$22,"未選択")&gt;0,"×",'②の計算式'!B35)</f>
        <v>不的中</v>
      </c>
      <c r="H3" s="13">
        <f>SUM(E3:E7)</f>
        <v>1250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30.75" customHeight="1">
      <c r="A4" s="11" t="s">
        <v>37</v>
      </c>
      <c r="B4" s="11" t="s">
        <v>16</v>
      </c>
      <c r="C4" s="11" t="s">
        <v>19</v>
      </c>
      <c r="D4" s="11" t="s">
        <v>18</v>
      </c>
      <c r="E4" s="11">
        <v>300.0</v>
      </c>
      <c r="F4" s="12">
        <f>'②の計算式'!D21</f>
        <v>365.169817</v>
      </c>
      <c r="G4" s="13" t="str">
        <f>IF(COUNTIF('仮オッズ'!$A$17:$B$22,"未選択")&gt;0,"×",'②の計算式'!B36)</f>
        <v>不的中</v>
      </c>
      <c r="H4" s="19" t="s">
        <v>33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30.75" customHeight="1">
      <c r="A5" s="11" t="s">
        <v>37</v>
      </c>
      <c r="B5" s="11" t="s">
        <v>17</v>
      </c>
      <c r="C5" s="11" t="s">
        <v>19</v>
      </c>
      <c r="D5" s="11" t="s">
        <v>18</v>
      </c>
      <c r="E5" s="11">
        <v>300.0</v>
      </c>
      <c r="F5" s="12">
        <f>'②の計算式'!D22</f>
        <v>1008.396269</v>
      </c>
      <c r="G5" s="13" t="str">
        <f>IF(COUNTIF('仮オッズ'!$A$17:$B$22,"未選択")&gt;0,"×",'②の計算式'!B37)</f>
        <v>不的中</v>
      </c>
      <c r="H5" s="20">
        <f>IF(COUNTIF('仮オッズ'!$B$17:$B$22,"未選択")&gt;0,"×",'②の計算式'!F35)</f>
        <v>36785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30.75" customHeight="1">
      <c r="A6" s="11" t="s">
        <v>37</v>
      </c>
      <c r="B6" s="11" t="s">
        <v>17</v>
      </c>
      <c r="C6" s="11" t="s">
        <v>18</v>
      </c>
      <c r="D6" s="11" t="s">
        <v>16</v>
      </c>
      <c r="E6" s="11">
        <v>300.0</v>
      </c>
      <c r="F6" s="12">
        <f>'②の計算式'!D23</f>
        <v>122.6134947</v>
      </c>
      <c r="G6" s="13" t="str">
        <f>IF(COUNTIF('仮オッズ'!$A$17:$B$22,"未選択")&gt;0,"×",'②の計算式'!B38)</f>
        <v>的中</v>
      </c>
      <c r="H6" s="19" t="s">
        <v>36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ht="30.75" customHeight="1">
      <c r="A7" s="11" t="s">
        <v>20</v>
      </c>
      <c r="B7" s="11" t="s">
        <v>20</v>
      </c>
      <c r="C7" s="11" t="s">
        <v>20</v>
      </c>
      <c r="D7" s="11" t="s">
        <v>20</v>
      </c>
      <c r="E7" s="11">
        <v>50.0</v>
      </c>
      <c r="F7" s="12" t="str">
        <f>'②の計算式'!D24</f>
        <v>未選択</v>
      </c>
      <c r="G7" s="13" t="str">
        <f>IF(COUNTIF('仮オッズ'!$A$17:$B$22,"未選択")&gt;0,"×",'②の計算式'!B39)</f>
        <v>×</v>
      </c>
      <c r="H7" s="20">
        <f>IF(H5="×","×",H5-H3)</f>
        <v>35535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15">
      <c r="D15" s="21"/>
    </row>
  </sheetData>
  <mergeCells count="1">
    <mergeCell ref="B2:D2"/>
  </mergeCells>
  <dataValidations>
    <dataValidation type="list" allowBlank="1" showErrorMessage="1" sqref="A3:A7">
      <formula1>"未選択,単勝,複勝,三連単,三連複"</formula1>
    </dataValidation>
    <dataValidation type="list" allowBlank="1" showErrorMessage="1" sqref="B3:D7">
      <formula1>'仮オッズ'!$A$2:$A$11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" t="s">
        <v>0</v>
      </c>
    </row>
    <row r="2">
      <c r="B2" s="1" t="s">
        <v>3</v>
      </c>
      <c r="E2" s="1" t="s">
        <v>4</v>
      </c>
      <c r="H2" s="1" t="s">
        <v>6</v>
      </c>
      <c r="I2" s="1" t="s">
        <v>8</v>
      </c>
    </row>
    <row r="3">
      <c r="B3" s="6" t="str">
        <f>'仮オッズ'!A2</f>
        <v>ゆーや</v>
      </c>
      <c r="C3" s="8">
        <f>'仮オッズ'!D2</f>
        <v>2.105263158</v>
      </c>
      <c r="E3" s="6" t="str">
        <f>'仮オッズ'!A2</f>
        <v>ゆーや</v>
      </c>
      <c r="F3" s="6">
        <f>1/(1-(1-(1/'仮オッズ'!D2))^3)</f>
        <v>1.169184676</v>
      </c>
      <c r="H3" s="6" t="str">
        <f>'仮オッズ'!A2</f>
        <v>ゆーや</v>
      </c>
      <c r="I3" s="6">
        <f t="shared" ref="I3:I8" si="1">1/C3</f>
        <v>0.475</v>
      </c>
    </row>
    <row r="4">
      <c r="B4" s="6" t="str">
        <f>'仮オッズ'!A3</f>
        <v>たいよう</v>
      </c>
      <c r="C4" s="8">
        <f>'仮オッズ'!D3</f>
        <v>2.352941176</v>
      </c>
      <c r="E4" s="6" t="str">
        <f>'仮オッズ'!A3</f>
        <v>たいよう</v>
      </c>
      <c r="F4" s="6">
        <f>1/(1-(1-(1/'仮オッズ'!D3))^3)</f>
        <v>1.234734629</v>
      </c>
      <c r="H4" s="6" t="str">
        <f>'仮オッズ'!A3</f>
        <v>たいよう</v>
      </c>
      <c r="I4" s="6">
        <f t="shared" si="1"/>
        <v>0.425</v>
      </c>
    </row>
    <row r="5">
      <c r="B5" s="6" t="str">
        <f>'仮オッズ'!A4</f>
        <v>はせりょー</v>
      </c>
      <c r="C5" s="8">
        <f>'仮オッズ'!D4</f>
        <v>5.714285714</v>
      </c>
      <c r="E5" s="6" t="str">
        <f>'仮オッズ'!A4</f>
        <v>はせりょー</v>
      </c>
      <c r="F5" s="6">
        <f>1/(1-(1-(1/'仮オッズ'!D4))^3)</f>
        <v>2.280582974</v>
      </c>
      <c r="H5" s="6" t="str">
        <f>'仮オッズ'!A4</f>
        <v>はせりょー</v>
      </c>
      <c r="I5" s="6">
        <f t="shared" si="1"/>
        <v>0.175</v>
      </c>
    </row>
    <row r="6">
      <c r="B6" s="6" t="str">
        <f>'仮オッズ'!A5</f>
        <v>みわ</v>
      </c>
      <c r="C6" s="8">
        <f>'仮オッズ'!D5</f>
        <v>13.33333333</v>
      </c>
      <c r="E6" s="6" t="str">
        <f>'仮オッズ'!A5</f>
        <v>みわ</v>
      </c>
      <c r="F6" s="6">
        <f>1/(1-(1-(1/'仮オッズ'!D5))^3)</f>
        <v>4.795085038</v>
      </c>
      <c r="H6" s="6" t="str">
        <f>'仮オッズ'!A5</f>
        <v>みわ</v>
      </c>
      <c r="I6" s="6">
        <f t="shared" si="1"/>
        <v>0.075</v>
      </c>
    </row>
    <row r="7">
      <c r="B7" s="6" t="str">
        <f>'仮オッズ'!A6</f>
        <v>こーた</v>
      </c>
      <c r="C7" s="8">
        <f>'仮オッズ'!D6</f>
        <v>13.33333333</v>
      </c>
      <c r="E7" s="6" t="str">
        <f>'仮オッズ'!A6</f>
        <v>こーた</v>
      </c>
      <c r="F7" s="6">
        <f>1/(1-(1-(1/'仮オッズ'!D6))^3)</f>
        <v>4.795085038</v>
      </c>
      <c r="H7" s="6" t="str">
        <f>'仮オッズ'!A6</f>
        <v>こーた</v>
      </c>
      <c r="I7" s="6">
        <f t="shared" si="1"/>
        <v>0.075</v>
      </c>
    </row>
    <row r="8">
      <c r="B8" s="6" t="str">
        <f>'仮オッズ'!A7</f>
        <v>いずみ</v>
      </c>
      <c r="C8" s="8">
        <f>'仮オッズ'!D7</f>
        <v>40</v>
      </c>
      <c r="E8" s="6" t="str">
        <f>'仮オッズ'!A7</f>
        <v>いずみ</v>
      </c>
      <c r="F8" s="6">
        <f>1/(1-(1-(1/'仮オッズ'!D7))^3)</f>
        <v>13.67229225</v>
      </c>
      <c r="H8" s="6" t="str">
        <f>'仮オッズ'!A7</f>
        <v>いずみ</v>
      </c>
      <c r="I8" s="6">
        <f t="shared" si="1"/>
        <v>0.025</v>
      </c>
    </row>
    <row r="9">
      <c r="B9" s="6" t="str">
        <f>'仮オッズ'!A8</f>
        <v>未選択</v>
      </c>
      <c r="C9" s="6" t="str">
        <f>'仮オッズ'!D8</f>
        <v/>
      </c>
      <c r="E9" s="6" t="str">
        <f>'仮オッズ'!A8</f>
        <v>未選択</v>
      </c>
      <c r="H9" s="6" t="str">
        <f>'仮オッズ'!A8</f>
        <v>未選択</v>
      </c>
    </row>
    <row r="10">
      <c r="B10" s="6" t="str">
        <f>'仮オッズ'!A9</f>
        <v/>
      </c>
      <c r="C10" s="6" t="str">
        <f>'仮オッズ'!D9:D18</f>
        <v/>
      </c>
      <c r="E10" s="6" t="str">
        <f>'仮オッズ'!A9</f>
        <v/>
      </c>
      <c r="H10" s="6" t="str">
        <f>'仮オッズ'!A9</f>
        <v/>
      </c>
    </row>
    <row r="11">
      <c r="B11" s="6" t="str">
        <f>'仮オッズ'!A10</f>
        <v/>
      </c>
      <c r="E11" s="6" t="str">
        <f>'仮オッズ'!A10</f>
        <v/>
      </c>
      <c r="H11" s="6" t="str">
        <f>'仮オッズ'!A10</f>
        <v/>
      </c>
    </row>
    <row r="12">
      <c r="B12" s="1" t="s">
        <v>30</v>
      </c>
      <c r="F12" s="14" t="s">
        <v>6</v>
      </c>
      <c r="G12" s="15"/>
      <c r="H12" s="16"/>
    </row>
    <row r="13">
      <c r="F13" s="17">
        <f>IFS('C馬券購入'!B3='仮オッズ'!$A$2,$I$3,'C馬券購入'!B3='仮オッズ'!$A$3,$I$4,'C馬券購入'!B3='仮オッズ'!$A$4,$I$5,'C馬券購入'!B3='仮オッズ'!$A$5,$I$6,'C馬券購入'!B3='仮オッズ'!$A$6,$I$7,'C馬券購入'!B3='仮オッズ'!$A$7,$I$8)</f>
        <v>0.175</v>
      </c>
      <c r="G13" s="6" t="str">
        <f>IFS('C馬券購入'!C3='仮オッズ'!$A$2,$I$3,'C馬券購入'!C3='仮オッズ'!$A$3,$I$4,'C馬券購入'!C3='仮オッズ'!$A$4,$I$5,'C馬券購入'!C3='仮オッズ'!$A$5,$I$6,'C馬券購入'!C3='仮オッズ'!$A$6,$I$7,'C馬券購入'!C3='仮オッズ'!$A$7,$I$8)</f>
        <v>#N/A</v>
      </c>
      <c r="H13" s="18" t="str">
        <f>IFS('C馬券購入'!D3='仮オッズ'!$A$2,$I$3,'C馬券購入'!D3='仮オッズ'!$A$3,$I$4,'C馬券購入'!D3='仮オッズ'!$A$4,$I$5,'C馬券購入'!D3='仮オッズ'!$A$5,$I$6,'C馬券購入'!D3='仮オッズ'!$A$6,$I$7,'C馬券購入'!D3='仮オッズ'!$A$7,$I$8)</f>
        <v>#N/A</v>
      </c>
    </row>
    <row r="14">
      <c r="A14" s="1" t="s">
        <v>3</v>
      </c>
      <c r="B14" s="8">
        <f>VLOOKUP('C馬券購入'!B$3,'③の計算式'!単勝,2,false)</f>
        <v>5.714285714</v>
      </c>
      <c r="F14" s="17">
        <f>IFS('C馬券購入'!B4='仮オッズ'!$A$2,$I$3,'C馬券購入'!B4='仮オッズ'!$A$3,$I$4,'C馬券購入'!B4='仮オッズ'!$A$4,$I$5,'C馬券購入'!B4='仮オッズ'!$A$5,$I$6,'C馬券購入'!B4='仮オッズ'!$A$6,$I$7,'C馬券購入'!B4='仮オッズ'!$A$7,$I$8)</f>
        <v>0.025</v>
      </c>
      <c r="G14" s="6" t="str">
        <f>IFS('C馬券購入'!C4='仮オッズ'!$A$2,$I$3,'C馬券購入'!C4='仮オッズ'!$A$3,$I$4,'C馬券購入'!C4='仮オッズ'!$A$4,$I$5,'C馬券購入'!C4='仮オッズ'!$A$5,$I$6,'C馬券購入'!C4='仮オッズ'!$A$6,$I$7,'C馬券購入'!C4='仮オッズ'!$A$7,$I$8)</f>
        <v>#N/A</v>
      </c>
      <c r="H14" s="18" t="str">
        <f>IFS('C馬券購入'!D4='仮オッズ'!$A$2,$I$3,'C馬券購入'!D4='仮オッズ'!$A$3,$I$4,'C馬券購入'!D4='仮オッズ'!$A$4,$I$5,'C馬券購入'!D4='仮オッズ'!$A$5,$I$6,'C馬券購入'!D4='仮オッズ'!$A$6,$I$7,'C馬券購入'!D4='仮オッズ'!$A$7,$I$8)</f>
        <v>#N/A</v>
      </c>
    </row>
    <row r="15">
      <c r="A15" s="1" t="s">
        <v>4</v>
      </c>
      <c r="B15" s="6">
        <f>VLOOKUP('C馬券購入'!B3,'③の計算式'!複勝,2,false)</f>
        <v>2.280582974</v>
      </c>
      <c r="F15" s="17">
        <f>IFS('C馬券購入'!B5='仮オッズ'!$A$2,$I$3,'C馬券購入'!B5='仮オッズ'!$A$3,$I$4,'C馬券購入'!B5='仮オッズ'!$A$4,$I$5,'C馬券購入'!B5='仮オッズ'!$A$5,$I$6,'C馬券購入'!B5='仮オッズ'!$A$6,$I$7,'C馬券購入'!B5='仮オッズ'!$A$7,$I$8)</f>
        <v>0.425</v>
      </c>
      <c r="G15" s="6" t="str">
        <f>IFS('C馬券購入'!C5='仮オッズ'!$A$2,$I$3,'C馬券購入'!C5='仮オッズ'!$A$3,$I$4,'C馬券購入'!C5='仮オッズ'!$A$4,$I$5,'C馬券購入'!C5='仮オッズ'!$A$5,$I$6,'C馬券購入'!C5='仮オッズ'!$A$6,$I$7,'C馬券購入'!C5='仮オッズ'!$A$7,$I$8)</f>
        <v>#N/A</v>
      </c>
      <c r="H15" s="18" t="str">
        <f>IFS('C馬券購入'!D5='仮オッズ'!$A$2,$I$3,'C馬券購入'!D5='仮オッズ'!$A$3,$I$4,'C馬券購入'!D5='仮オッズ'!$A$4,$I$5,'C馬券購入'!D5='仮オッズ'!$A$5,$I$6,'C馬券購入'!D5='仮オッズ'!$A$6,$I$7,'C馬券購入'!D5='仮オッズ'!$A$7,$I$8)</f>
        <v>#N/A</v>
      </c>
    </row>
    <row r="16">
      <c r="A16" s="1" t="s">
        <v>31</v>
      </c>
      <c r="B16" s="1" t="str">
        <f>1/((F13*(G13/(1-F13))*(H13/(1-F13-G13))))</f>
        <v>#N/A</v>
      </c>
      <c r="F16" s="17">
        <f>IFS('C馬券購入'!B6='仮オッズ'!$A$2,$I$3,'C馬券購入'!B6='仮オッズ'!$A$3,$I$4,'C馬券購入'!B6='仮オッズ'!$A$4,$I$5,'C馬券購入'!B6='仮オッズ'!$A$5,$I$6,'C馬券購入'!B6='仮オッズ'!$A$6,$I$7,'C馬券購入'!B6='仮オッズ'!$A$7,$I$8)</f>
        <v>0.075</v>
      </c>
      <c r="G16" s="6" t="str">
        <f>IFS('C馬券購入'!C6='仮オッズ'!$A$2,$I$3,'C馬券購入'!C6='仮オッズ'!$A$3,$I$4,'C馬券購入'!C6='仮オッズ'!$A$4,$I$5,'C馬券購入'!C6='仮オッズ'!$A$5,$I$6,'C馬券購入'!C6='仮オッズ'!$A$6,$I$7,'C馬券購入'!C6='仮オッズ'!$A$7,$I$8)</f>
        <v>#N/A</v>
      </c>
      <c r="H16" s="18" t="str">
        <f>IFS('C馬券購入'!D6='仮オッズ'!$A$2,$I$3,'C馬券購入'!D6='仮オッズ'!$A$3,$I$4,'C馬券購入'!D6='仮オッズ'!$A$4,$I$5,'C馬券購入'!D6='仮オッズ'!$A$5,$I$6,'C馬券購入'!D6='仮オッズ'!$A$6,$I$7,'C馬券購入'!D6='仮オッズ'!$A$7,$I$8)</f>
        <v>#N/A</v>
      </c>
    </row>
    <row r="17">
      <c r="A17" s="1" t="s">
        <v>37</v>
      </c>
      <c r="B17" s="6" t="str">
        <f>1/(F13*(G13/(1-F13))*(H13/(1-F13-G13))+F13*(H13/(1-F13))*(G13/(1-F13-H13))+G13*(F13/(1-G13))*(H13/(1-F13-G13))+G13*(H13/(1-G13))*(F13/(1-G13-H13))+H13*(F13/(1-H13))*(G13/(1-H13-F13))+H13*(G13/(1-H13))*(F13/(1-G13-F13)))</f>
        <v>#N/A</v>
      </c>
      <c r="F17" s="17">
        <f>IFS('C馬券購入'!B7='仮オッズ'!$A$2,$I$3,'C馬券購入'!B7='仮オッズ'!$A$3,$I$4,'C馬券購入'!B7='仮オッズ'!$A$4,$I$5,'C馬券購入'!B7='仮オッズ'!$A$5,$I$6,'C馬券購入'!B7='仮オッズ'!$A$6,$I$7,'C馬券購入'!B7='仮オッズ'!$A$7,$I$8)</f>
        <v>0.025</v>
      </c>
      <c r="G17" s="6" t="str">
        <f>IFS('C馬券購入'!C7='仮オッズ'!$A$2,$I$3,'C馬券購入'!C7='仮オッズ'!$A$3,$I$4,'C馬券購入'!C7='仮オッズ'!$A$4,$I$5,'C馬券購入'!C7='仮オッズ'!$A$5,$I$6,'C馬券購入'!C7='仮オッズ'!$A$6,$I$7,'C馬券購入'!C7='仮オッズ'!$A$7,$I$8)</f>
        <v>#N/A</v>
      </c>
      <c r="H17" s="18" t="str">
        <f>IFS('C馬券購入'!D7='仮オッズ'!$A$2,$I$3,'C馬券購入'!D7='仮オッズ'!$A$3,$I$4,'C馬券購入'!D7='仮オッズ'!$A$4,$I$5,'C馬券購入'!D7='仮オッズ'!$A$5,$I$6,'C馬券購入'!D7='仮オッズ'!$A$6,$I$7,'C馬券購入'!D7='仮オッズ'!$A$7,$I$8)</f>
        <v>#N/A</v>
      </c>
    </row>
    <row r="18">
      <c r="F18" s="17" t="str">
        <f>IFS('C馬券購入'!B8='仮オッズ'!$A$2,$I$3,'C馬券購入'!B8='仮オッズ'!$A$3,$I$4,'C馬券購入'!B8='仮オッズ'!$A$4,$I$5,'C馬券購入'!B8='仮オッズ'!$A$5,$I$6,'C馬券購入'!B8='仮オッズ'!$A$6,$I$7,'C馬券購入'!B8='仮オッズ'!$A$7,$I$8)</f>
        <v>#N/A</v>
      </c>
      <c r="G18" s="6" t="str">
        <f>IFS('C馬券購入'!C8='仮オッズ'!$A$2,$I$3,'C馬券購入'!C8='仮オッズ'!$A$3,$I$4,'C馬券購入'!C8='仮オッズ'!$A$4,$I$5,'C馬券購入'!C8='仮オッズ'!$A$5,$I$6,'C馬券購入'!C8='仮オッズ'!$A$6,$I$7,'C馬券購入'!C8='仮オッズ'!$A$7,$I$8)</f>
        <v>#N/A</v>
      </c>
      <c r="H18" s="18" t="str">
        <f>IFS('C馬券購入'!D8='仮オッズ'!$A$2,$I$3,'C馬券購入'!D8='仮オッズ'!$A$3,$I$4,'C馬券購入'!D8='仮オッズ'!$A$4,$I$5,'C馬券購入'!D8='仮オッズ'!$A$5,$I$6,'C馬券購入'!D8='仮オッズ'!$A$6,$I$7,'C馬券購入'!D8='仮オッズ'!$A$7,$I$8)</f>
        <v>#N/A</v>
      </c>
    </row>
    <row r="19">
      <c r="B19" s="1" t="s">
        <v>41</v>
      </c>
      <c r="C19" s="1" t="s">
        <v>42</v>
      </c>
      <c r="D19" s="1" t="s">
        <v>43</v>
      </c>
      <c r="F19" s="22" t="str">
        <f>IFS('C馬券購入'!B9='仮オッズ'!$A$2,$I$3,'C馬券購入'!B9='仮オッズ'!$A$3,$I$4,'C馬券購入'!B9='仮オッズ'!$A$4,$I$5,'C馬券購入'!B9='仮オッズ'!$A$5,$I$6,'C馬券購入'!B9='仮オッズ'!$A$6,$I$7,'C馬券購入'!B9='仮オッズ'!$A$7,$I$8)</f>
        <v>#N/A</v>
      </c>
      <c r="G19" s="23" t="str">
        <f>IFS('C馬券購入'!C9='仮オッズ'!$A$2,$I$3,'C馬券購入'!C9='仮オッズ'!$A$3,$I$4,'C馬券購入'!C9='仮オッズ'!$A$4,$I$5,'C馬券購入'!C9='仮オッズ'!$A$5,$I$6,'C馬券購入'!C9='仮オッズ'!$A$6,$I$7,'C馬券購入'!C9='仮オッズ'!$A$7,$I$8)</f>
        <v>#N/A</v>
      </c>
      <c r="H19" s="24" t="str">
        <f>IFS('C馬券購入'!D9='仮オッズ'!$A$2,$I$3,'C馬券購入'!D9='仮オッズ'!$A$3,$I$4,'C馬券購入'!D9='仮オッズ'!$A$4,$I$5,'C馬券購入'!D9='仮オッズ'!$A$5,$I$6,'C馬券購入'!D9='仮オッズ'!$A$6,$I$7,'C馬券購入'!D9='仮オッズ'!$A$7,$I$8)</f>
        <v>#N/A</v>
      </c>
    </row>
    <row r="20">
      <c r="A20" s="1" t="s">
        <v>30</v>
      </c>
      <c r="B20" s="6">
        <f>IFS('C馬券購入'!A3="単勝",$B$14,'C馬券購入'!A3="複勝",$B$15,'C馬券購入'!A3="三連単",$B$16,'C馬券購入'!A3="三連複",$B$17)</f>
        <v>2.280582974</v>
      </c>
      <c r="C20" s="6">
        <f t="shared" ref="C20:C24" si="2">IF(B20&lt;1.1,1.1,B20)</f>
        <v>2.280582974</v>
      </c>
      <c r="D20" s="6">
        <f t="shared" ref="D20:D24" si="3">IFERROR(C20,"未選択")</f>
        <v>2.280582974</v>
      </c>
    </row>
    <row r="21">
      <c r="A21" s="1" t="s">
        <v>44</v>
      </c>
      <c r="B21" s="6">
        <f>IFS('C馬券購入'!A4="単勝",$G$22,'C馬券購入'!A4="複勝",$G$23,'C馬券購入'!A4="三連単",$G$24,'C馬券購入'!A4="三連複",$G$25)</f>
        <v>13.67229225</v>
      </c>
      <c r="C21" s="6">
        <f t="shared" si="2"/>
        <v>13.67229225</v>
      </c>
      <c r="D21" s="6">
        <f t="shared" si="3"/>
        <v>13.67229225</v>
      </c>
      <c r="F21" s="14" t="s">
        <v>45</v>
      </c>
      <c r="G21" s="25" t="s">
        <v>12</v>
      </c>
      <c r="H21" s="26" t="s">
        <v>13</v>
      </c>
      <c r="I21" s="14" t="s">
        <v>46</v>
      </c>
      <c r="J21" s="15"/>
      <c r="K21" s="26" t="s">
        <v>13</v>
      </c>
      <c r="L21" s="14" t="s">
        <v>47</v>
      </c>
      <c r="M21" s="15"/>
      <c r="N21" s="16"/>
      <c r="O21" s="14" t="s">
        <v>48</v>
      </c>
      <c r="P21" s="15"/>
      <c r="Q21" s="16"/>
    </row>
    <row r="22">
      <c r="A22" s="1" t="s">
        <v>49</v>
      </c>
      <c r="B22" s="6">
        <f>IFS('C馬券購入'!A5="単勝",$J$22,'C馬券購入'!A5="複勝",$J$23,'C馬券購入'!A5="三連単",$J$24,'C馬券購入'!A5="三連複",$J$25)</f>
        <v>2.352941176</v>
      </c>
      <c r="C22" s="6">
        <f t="shared" si="2"/>
        <v>2.352941176</v>
      </c>
      <c r="D22" s="6">
        <f t="shared" si="3"/>
        <v>2.352941176</v>
      </c>
      <c r="F22" s="27" t="s">
        <v>3</v>
      </c>
      <c r="G22" s="8">
        <f>VLOOKUP('C馬券購入'!B$4,'③の計算式'!単勝,2,false)</f>
        <v>40</v>
      </c>
      <c r="H22" s="18" t="str">
        <f>IF('C馬券購入'!B4='仮オッズ'!$B$17,"的中","不的中")</f>
        <v>不的中</v>
      </c>
      <c r="I22" s="27" t="s">
        <v>3</v>
      </c>
      <c r="J22" s="8">
        <f>VLOOKUP('C馬券購入'!$B$5,'③の計算式'!単勝,2,false)</f>
        <v>2.352941176</v>
      </c>
      <c r="K22" s="18" t="str">
        <f>IF('C馬券購入'!B5='仮オッズ'!$B$17,"的中","不的中")</f>
        <v>不的中</v>
      </c>
      <c r="L22" s="27" t="s">
        <v>3</v>
      </c>
      <c r="M22" s="8">
        <f>VLOOKUP('C馬券購入'!$B$6,'③の計算式'!単勝,2,false)</f>
        <v>13.33333333</v>
      </c>
      <c r="N22" s="18" t="str">
        <f>IF('C馬券購入'!B6='仮オッズ'!$B$17,"的中","不的中")</f>
        <v>不的中</v>
      </c>
      <c r="O22" s="27" t="s">
        <v>3</v>
      </c>
      <c r="P22" s="8">
        <f>VLOOKUP('C馬券購入'!$B$7,'③の計算式'!単勝,2,false)</f>
        <v>40</v>
      </c>
      <c r="Q22" s="18" t="str">
        <f>IF('C馬券購入'!B7='仮オッズ'!$B$17,"的中","不的中")</f>
        <v>不的中</v>
      </c>
    </row>
    <row r="23">
      <c r="A23" s="1" t="s">
        <v>47</v>
      </c>
      <c r="B23" s="6">
        <f>IFS('C馬券購入'!A6="単勝",$M$22,'C馬券購入'!A6="複勝",$M$23,'C馬券購入'!A6="三連単",$M$24,'C馬券購入'!A6="三連複",$M$25)</f>
        <v>13.33333333</v>
      </c>
      <c r="C23" s="6">
        <f t="shared" si="2"/>
        <v>13.33333333</v>
      </c>
      <c r="D23" s="6">
        <f t="shared" si="3"/>
        <v>13.33333333</v>
      </c>
      <c r="F23" s="27" t="s">
        <v>4</v>
      </c>
      <c r="G23" s="6">
        <f>VLOOKUP('C馬券購入'!$B$4,'③の計算式'!複勝,2,false)</f>
        <v>13.67229225</v>
      </c>
      <c r="H23" s="18" t="str">
        <f>IF(OR('C馬券購入'!B4='仮オッズ'!$B$17,'C馬券購入'!B4='仮オッズ'!$B$18,'C馬券購入'!B4='仮オッズ'!$B$19),"的中","不的中")</f>
        <v>不的中</v>
      </c>
      <c r="I23" s="27" t="s">
        <v>4</v>
      </c>
      <c r="J23" s="6">
        <f>VLOOKUP('C馬券購入'!$B$5,'③の計算式'!複勝,2,false)</f>
        <v>1.234734629</v>
      </c>
      <c r="K23" s="18" t="str">
        <f>IF(OR('C馬券購入'!B5='仮オッズ'!$B$17,'C馬券購入'!B5='仮オッズ'!$B$18,'C馬券購入'!B5='仮オッズ'!$B$19),"的中","不的中")</f>
        <v>不的中</v>
      </c>
      <c r="L23" s="27" t="s">
        <v>4</v>
      </c>
      <c r="M23" s="6">
        <f>VLOOKUP('C馬券購入'!$B$6,'③の計算式'!複勝,2,false)</f>
        <v>4.795085038</v>
      </c>
      <c r="N23" s="18" t="str">
        <f>IF(OR('C馬券購入'!B6='仮オッズ'!$B$17,'C馬券購入'!B6='仮オッズ'!$B$18,'C馬券購入'!B6='仮オッズ'!$B$19),"的中","不的中")</f>
        <v>的中</v>
      </c>
      <c r="O23" s="27" t="s">
        <v>4</v>
      </c>
      <c r="P23" s="6">
        <f>VLOOKUP('C馬券購入'!$B$7,'③の計算式'!複勝,2,false)</f>
        <v>13.67229225</v>
      </c>
      <c r="Q23" s="18" t="str">
        <f>IF(OR('C馬券購入'!B7='仮オッズ'!$B$17,'C馬券購入'!B7='仮オッズ'!$B$18,'C馬券購入'!B7='仮オッズ'!$B$19),"的中","不的中")</f>
        <v>不的中</v>
      </c>
    </row>
    <row r="24">
      <c r="A24" s="1" t="s">
        <v>48</v>
      </c>
      <c r="B24" s="6">
        <f>IFS('C馬券購入'!A7="単勝",$P$22,'C馬券購入'!A7="複勝",$P$23,'C馬券購入'!A7="三連単",$P$24,'C馬券購入'!A7="三連複",$P$25)</f>
        <v>40</v>
      </c>
      <c r="C24" s="6">
        <f t="shared" si="2"/>
        <v>40</v>
      </c>
      <c r="D24" s="6">
        <f t="shared" si="3"/>
        <v>40</v>
      </c>
      <c r="F24" s="27" t="s">
        <v>31</v>
      </c>
      <c r="G24" s="6" t="str">
        <f>1/((F14*(G14/(1-F14))*(H14/(1-F14-G14))))</f>
        <v>#N/A</v>
      </c>
      <c r="H24" s="18" t="str">
        <f>if(AND('C馬券購入'!B4='仮オッズ'!$B$17,'C馬券購入'!C4='仮オッズ'!$B$18,'C馬券購入'!D4='仮オッズ'!$B$19),"的中","不的中")</f>
        <v>不的中</v>
      </c>
      <c r="I24" s="27" t="s">
        <v>31</v>
      </c>
      <c r="J24" s="6" t="str">
        <f>1/((F15*(G15/(1-F15))*(H15/(1-F15-G15))))</f>
        <v>#N/A</v>
      </c>
      <c r="K24" s="18" t="str">
        <f>if(AND('C馬券購入'!B5='仮オッズ'!$B$17,'C馬券購入'!C5='仮オッズ'!$B$18,'C馬券購入'!D5='仮オッズ'!$B$19),"的中","不的中")</f>
        <v>不的中</v>
      </c>
      <c r="L24" s="27" t="s">
        <v>31</v>
      </c>
      <c r="M24" s="6" t="str">
        <f>1/((F16*(G16/(1-F16))*(H16/(1-F16-G16))))</f>
        <v>#N/A</v>
      </c>
      <c r="N24" s="18" t="str">
        <f>if(AND('C馬券購入'!B6='仮オッズ'!$B$17,'C馬券購入'!C6='仮オッズ'!$B$18,'C馬券購入'!D6='仮オッズ'!$B$19),"的中","不的中")</f>
        <v>不的中</v>
      </c>
      <c r="O24" s="27" t="s">
        <v>31</v>
      </c>
      <c r="P24" s="6" t="str">
        <f>1/((F17*(G17/(1-F17))*(H17/(1-F17-G17))))</f>
        <v>#N/A</v>
      </c>
      <c r="Q24" s="18" t="str">
        <f>if(AND('C馬券購入'!B7='仮オッズ'!$B$17,'C馬券購入'!C7='仮オッズ'!$B$18,'C馬券購入'!D7='仮オッズ'!$B$19),"的中","不的中")</f>
        <v>不的中</v>
      </c>
    </row>
    <row r="25">
      <c r="F25" s="28" t="s">
        <v>37</v>
      </c>
      <c r="G25" s="23" t="str">
        <f>1/(F14*(G14/(1-F14))*(H14/(1-F14-G14))+F14*(H14/(1-F14))*(G14/(1-F14-H14))+G14*(F14/(1-G14))*(H14/(1-F14-G14))+G14*(H14/(1-G14))*(F14/(1-G14-H14))+H14*(F14/(1-H14))*(G14/(1-H14-F14))+H14*(G14/(1-H14))*(F14/(1-G14-F14)))</f>
        <v>#N/A</v>
      </c>
      <c r="H25" s="24" t="str">
        <f>IF(AND(OR('仮オッズ'!$B$17='C馬券購入'!B4,'仮オッズ'!$B$18='C馬券購入'!B4,'仮オッズ'!$B$19='C馬券購入'!B4),OR('仮オッズ'!$B$17='C馬券購入'!C4,'仮オッズ'!$B$18='C馬券購入'!C4,'仮オッズ'!$B$19='C馬券購入'!C4),OR('仮オッズ'!$B$17='C馬券購入'!D4,'仮オッズ'!$B$18='C馬券購入'!D4,'仮オッズ'!$B$19='C馬券購入'!D4)),"的中","不的中")</f>
        <v>不的中</v>
      </c>
      <c r="I25" s="28" t="s">
        <v>37</v>
      </c>
      <c r="J25" s="23" t="str">
        <f>1/(F15*(G15*(1-F15))*(H15/(1-F15-G15))+F15*(H15/(1-F15))*(G15/(1-F15-H15))+G15*(F15/(1-G15))*(H15/(1-F15-G15))+G15*(H15/(1-G15))*(F15/(1-G15-H15))+H15*(F15/(1-H15))*(G15/(1-H15-F15))+H15*(G15/(1-H15))*(F15/(1-G15-F15)))</f>
        <v>#N/A</v>
      </c>
      <c r="K25" s="24" t="str">
        <f>IF(AND(OR('仮オッズ'!$B$17='C馬券購入'!B5,'仮オッズ'!$B$18='C馬券購入'!B5,'仮オッズ'!$B$19='C馬券購入'!B5),OR('仮オッズ'!$B$17='C馬券購入'!C5,'仮オッズ'!$B$18='C馬券購入'!C5,'仮オッズ'!$B$19='C馬券購入'!C5),OR('仮オッズ'!$B$17='C馬券購入'!D5,'仮オッズ'!$B$18='C馬券購入'!D5,'仮オッズ'!$B$19='C馬券購入'!D5)),"的中","不的中")</f>
        <v>不的中</v>
      </c>
      <c r="L25" s="28" t="s">
        <v>37</v>
      </c>
      <c r="M25" s="23" t="str">
        <f>1/(F16*(G16*(1-F16))*(H16/(1-F16-G16))+F16*(H16/(1-F16))*(G16/(1-F16-H16))+G16*(F16/(1-G16))*(H16/(1-F16-G16))+G16*(H16/(1-G16))*(F16/(1-G16-H16))+H16*(F16/(1-H16))*(G16/(1-H16-F16))+H16*(G16/(1-H16))*(F16/(1-G16-F16)))</f>
        <v>#N/A</v>
      </c>
      <c r="N25" s="24" t="str">
        <f>IF(AND(OR('仮オッズ'!$B$17='C馬券購入'!B6,'仮オッズ'!$B$18='C馬券購入'!B6,'仮オッズ'!$B$19='C馬券購入'!B6),OR('仮オッズ'!$B$17='C馬券購入'!C6,'仮オッズ'!$B$18='C馬券購入'!C6,'仮オッズ'!$B$19='C馬券購入'!C6),OR('仮オッズ'!$B$17='C馬券購入'!D6,'仮オッズ'!$B$18='C馬券購入'!D6,'仮オッズ'!$B$19='C馬券購入'!D6)),"的中","不的中")</f>
        <v>不的中</v>
      </c>
      <c r="O25" s="28" t="s">
        <v>37</v>
      </c>
      <c r="P25" s="23" t="str">
        <f>1/(F17*(G17*(1-F17))*(H17/(1-F17-G17))+F17*(H17/(1-F17))*(G17/(1-F17-H17))+G17*(F17/(1-G17))*(H17/(1-F17-G17))+G17*(H17/(1-G17))*(F17/(1-G17-H17))+H17*(F17/(1-H17))*(G17/(1-H17-F17))+H17*(G17/(1-H17))*(F17/(1-G17-F17)))</f>
        <v>#N/A</v>
      </c>
      <c r="Q25" s="24" t="str">
        <f>IF(AND(OR('仮オッズ'!$B$17='C馬券購入'!B7,'仮オッズ'!$B$18='C馬券購入'!B7,'仮オッズ'!$B$19='C馬券購入'!B7),OR('仮オッズ'!$B$17='C馬券購入'!C7,'仮オッズ'!$B$18='C馬券購入'!C7,'仮オッズ'!$B$19='C馬券購入'!C7),OR('仮オッズ'!$B$17='C馬券購入'!D7,'仮オッズ'!$B$18='C馬券購入'!D7,'仮オッズ'!$B$19='C馬券購入'!D7)),"的中","不的中")</f>
        <v>不的中</v>
      </c>
    </row>
    <row r="27">
      <c r="B27" s="1" t="s">
        <v>50</v>
      </c>
    </row>
    <row r="28">
      <c r="B28" s="1" t="s">
        <v>51</v>
      </c>
      <c r="C28" s="6" t="str">
        <f>IF('C馬券購入'!B3='仮オッズ'!$B$17,"的中","不的中")</f>
        <v>不的中</v>
      </c>
    </row>
    <row r="29">
      <c r="B29" s="1" t="s">
        <v>52</v>
      </c>
      <c r="C29" s="6" t="str">
        <f>if(AND('C馬券購入'!B3='仮オッズ'!$B$17,'C馬券購入'!C3='仮オッズ'!$B$18,'C馬券購入'!D3='仮オッズ'!$B$19),"的中","不的中")</f>
        <v>不的中</v>
      </c>
    </row>
    <row r="30">
      <c r="B30" s="1" t="s">
        <v>53</v>
      </c>
      <c r="C30" s="6" t="str">
        <f>IF(OR('C馬券購入'!B3='仮オッズ'!$B$17,'C馬券購入'!B3='仮オッズ'!$B$18,'C馬券購入'!B3='仮オッズ'!$B$19),"的中","不的中")</f>
        <v>的中</v>
      </c>
    </row>
    <row r="31">
      <c r="B31" s="1" t="s">
        <v>54</v>
      </c>
      <c r="C31" s="6" t="str">
        <f>IF(AND(OR('仮オッズ'!$B$17='C馬券購入'!B3,'仮オッズ'!$B$18='C馬券購入'!B3,'仮オッズ'!$B$19='C馬券購入'!B3),OR('仮オッズ'!$B$17='C馬券購入'!C3,'仮オッズ'!$B$18='C馬券購入'!C3,'仮オッズ'!$B$19='C馬券購入'!C3),OR('仮オッズ'!$B$17='C馬券購入'!D3,'仮オッズ'!$B$18='C馬券購入'!D3,'仮オッズ'!$B$19='C馬券購入'!D3)),"的中","不的中")</f>
        <v>不的中</v>
      </c>
    </row>
    <row r="34">
      <c r="B34" s="1" t="s">
        <v>43</v>
      </c>
      <c r="C34" s="1" t="s">
        <v>55</v>
      </c>
      <c r="F34" s="1" t="s">
        <v>56</v>
      </c>
    </row>
    <row r="35">
      <c r="A35" s="1" t="s">
        <v>30</v>
      </c>
      <c r="B35" s="6" t="str">
        <f>IFS('C馬券購入'!A3="単勝",$C$28,'C馬券購入'!A3="三連単",$C$29,'C馬券購入'!A3="複勝",$C$30,'C馬券購入'!A3="三連複",$C$31,'C馬券購入'!A3="未選択","×")</f>
        <v>的中</v>
      </c>
      <c r="C35" s="6">
        <f>IFS(B35="的中",'C馬券購入'!E3*'C馬券購入'!F3,B35="不的中",0,B35="×",0)</f>
        <v>228.0582974</v>
      </c>
      <c r="F35" s="29">
        <f>CEILING(SUM(C35:C39),5)</f>
        <v>230</v>
      </c>
    </row>
    <row r="36">
      <c r="A36" s="1" t="s">
        <v>44</v>
      </c>
      <c r="B36" s="6" t="str">
        <f>IFS('C馬券購入'!A4="単勝",$H$22,'C馬券購入'!A4="三連単",$H$24,'C馬券購入'!A4="複勝",$H$23,'C馬券購入'!A4="三連複",$H$25,'C馬券購入'!A4="未選択","×")</f>
        <v>不的中</v>
      </c>
      <c r="C36" s="6">
        <f>IFS(B36="的中",'C馬券購入'!E4*'C馬券購入'!F4,B36="不的中",0,B36="×",0)</f>
        <v>0</v>
      </c>
    </row>
    <row r="37">
      <c r="A37" s="1" t="s">
        <v>49</v>
      </c>
      <c r="B37" s="6" t="str">
        <f>IFS('C馬券購入'!A5="単勝",$K$22,'C馬券購入'!A5="三連単",$K$24,'C馬券購入'!A5="複勝",$K$23,'C馬券購入'!A5="三連複",$K$25,'C馬券購入'!A5="未選択","×")</f>
        <v>不的中</v>
      </c>
      <c r="C37" s="6">
        <f>IFS(B37="的中",'C馬券購入'!E5*'C馬券購入'!F5,B37="不的中",0,B37="×",0)</f>
        <v>0</v>
      </c>
    </row>
    <row r="38">
      <c r="A38" s="1" t="s">
        <v>47</v>
      </c>
      <c r="B38" s="6" t="str">
        <f>IFS('C馬券購入'!A6="単勝",$N$22,'C馬券購入'!A6="三連単",$N$24,'C馬券購入'!A6="複勝",$N$23,'C馬券購入'!A6="三連複",$N$25,'C馬券購入'!A6="未選択","×")</f>
        <v>不的中</v>
      </c>
      <c r="C38" s="6">
        <f>IFS(B38="的中",'C馬券購入'!E6*'C馬券購入'!F6,B38="不的中",0,B38="×",0)</f>
        <v>0</v>
      </c>
    </row>
    <row r="39">
      <c r="A39" s="1" t="s">
        <v>48</v>
      </c>
      <c r="B39" s="6" t="str">
        <f>IFS('C馬券購入'!A7="単勝",$Q$22,'C馬券購入'!A7="三連単",$Q$24,'C馬券購入'!A7="複勝",$Q$23,'C馬券購入'!A7="三連複",$Q$25,'C馬券購入'!A7="未選択","×")</f>
        <v>不的中</v>
      </c>
      <c r="C39" s="6">
        <f>IFS(B39="的中",'C馬券購入'!E7*'C馬券購入'!F7,B39="不的中",0,B39="×",0)</f>
        <v>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4" width="19.75"/>
    <col customWidth="1" min="7" max="7" width="12.38"/>
  </cols>
  <sheetData>
    <row r="2" ht="30.75" customHeight="1">
      <c r="A2" s="2" t="s">
        <v>1</v>
      </c>
      <c r="B2" s="4" t="s">
        <v>10</v>
      </c>
      <c r="C2" s="5"/>
      <c r="D2" s="7"/>
      <c r="E2" s="2" t="s">
        <v>11</v>
      </c>
      <c r="F2" s="2" t="s">
        <v>12</v>
      </c>
      <c r="G2" s="2" t="s">
        <v>13</v>
      </c>
      <c r="H2" s="2" t="s">
        <v>14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30.75" customHeight="1">
      <c r="A3" s="11" t="s">
        <v>4</v>
      </c>
      <c r="B3" s="11" t="s">
        <v>16</v>
      </c>
      <c r="C3" s="11" t="s">
        <v>20</v>
      </c>
      <c r="D3" s="11" t="s">
        <v>20</v>
      </c>
      <c r="E3" s="11">
        <v>100.0</v>
      </c>
      <c r="F3" s="12">
        <f>'③の計算式'!D20</f>
        <v>2.280582974</v>
      </c>
      <c r="G3" s="13" t="str">
        <f>IF(COUNTIF('仮オッズ'!$A$17:$B$22,"未選択")&gt;0,"×",'③の計算式'!B35)</f>
        <v>的中</v>
      </c>
      <c r="H3" s="13">
        <f>SUM(E3:E7)</f>
        <v>1050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30.75" customHeight="1">
      <c r="A4" s="11" t="s">
        <v>4</v>
      </c>
      <c r="B4" s="11" t="s">
        <v>19</v>
      </c>
      <c r="C4" s="11" t="s">
        <v>20</v>
      </c>
      <c r="D4" s="11" t="s">
        <v>20</v>
      </c>
      <c r="E4" s="11">
        <v>750.0</v>
      </c>
      <c r="F4" s="12">
        <f>'③の計算式'!D21</f>
        <v>13.67229225</v>
      </c>
      <c r="G4" s="13" t="str">
        <f>IF(COUNTIF('仮オッズ'!$A$17:$B$22,"未選択")&gt;0,"×",'③の計算式'!B36)</f>
        <v>不的中</v>
      </c>
      <c r="H4" s="19" t="s">
        <v>33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30.75" customHeight="1">
      <c r="A5" s="11" t="s">
        <v>3</v>
      </c>
      <c r="B5" s="11" t="s">
        <v>15</v>
      </c>
      <c r="C5" s="11" t="s">
        <v>20</v>
      </c>
      <c r="D5" s="11" t="s">
        <v>20</v>
      </c>
      <c r="E5" s="11">
        <v>50.0</v>
      </c>
      <c r="F5" s="12">
        <f>'③の計算式'!D22</f>
        <v>2.352941176</v>
      </c>
      <c r="G5" s="13" t="str">
        <f>IF(COUNTIF('仮オッズ'!$A$17:$B$22,"未選択")&gt;0,"×",'③の計算式'!B37)</f>
        <v>不的中</v>
      </c>
      <c r="H5" s="20">
        <f>IF(COUNTIF('仮オッズ'!$B$17:$B$22,"未選択")&gt;0,"×",'③の計算式'!F35)</f>
        <v>230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30.75" customHeight="1">
      <c r="A6" s="11" t="s">
        <v>3</v>
      </c>
      <c r="B6" s="11" t="s">
        <v>17</v>
      </c>
      <c r="C6" s="11" t="s">
        <v>20</v>
      </c>
      <c r="D6" s="11" t="s">
        <v>20</v>
      </c>
      <c r="E6" s="11">
        <v>50.0</v>
      </c>
      <c r="F6" s="12">
        <f>'③の計算式'!D23</f>
        <v>13.33333333</v>
      </c>
      <c r="G6" s="13" t="str">
        <f>IF(COUNTIF('仮オッズ'!$A$17:$B$22,"未選択")&gt;0,"×",'③の計算式'!B38)</f>
        <v>不的中</v>
      </c>
      <c r="H6" s="19" t="s">
        <v>36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ht="30.75" customHeight="1">
      <c r="A7" s="11" t="s">
        <v>3</v>
      </c>
      <c r="B7" s="11" t="s">
        <v>19</v>
      </c>
      <c r="C7" s="11" t="s">
        <v>57</v>
      </c>
      <c r="D7" s="11" t="s">
        <v>34</v>
      </c>
      <c r="E7" s="11">
        <v>100.0</v>
      </c>
      <c r="F7" s="12">
        <f>'③の計算式'!D24</f>
        <v>40</v>
      </c>
      <c r="G7" s="13" t="str">
        <f>IF(COUNTIF('仮オッズ'!$A$17:$B$22,"未選択")&gt;0,"×",'③の計算式'!B39)</f>
        <v>不的中</v>
      </c>
      <c r="H7" s="20">
        <f>IF(H5="×","×",H5-H3)</f>
        <v>-820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15">
      <c r="D15" s="21"/>
    </row>
  </sheetData>
  <mergeCells count="1">
    <mergeCell ref="B2:D2"/>
  </mergeCells>
  <dataValidations>
    <dataValidation type="list" allowBlank="1" showErrorMessage="1" sqref="A3:A7">
      <formula1>"未選択,単勝,複勝,三連単,三連複"</formula1>
    </dataValidation>
    <dataValidation type="list" allowBlank="1" showErrorMessage="1" sqref="B3:D7">
      <formula1>'仮オッズ'!$A$2:$A$11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" t="s">
        <v>0</v>
      </c>
    </row>
    <row r="2">
      <c r="B2" s="1" t="s">
        <v>3</v>
      </c>
      <c r="E2" s="1" t="s">
        <v>4</v>
      </c>
      <c r="H2" s="1" t="s">
        <v>6</v>
      </c>
      <c r="I2" s="1" t="s">
        <v>8</v>
      </c>
    </row>
    <row r="3">
      <c r="B3" s="6" t="str">
        <f>'仮オッズ'!A2</f>
        <v>ゆーや</v>
      </c>
      <c r="C3" s="8">
        <f>'仮オッズ'!D2</f>
        <v>2.105263158</v>
      </c>
      <c r="E3" s="6" t="str">
        <f>'仮オッズ'!A2</f>
        <v>ゆーや</v>
      </c>
      <c r="F3" s="6">
        <f>1/(1-(1-(1/'仮オッズ'!D2))^3)</f>
        <v>1.169184676</v>
      </c>
      <c r="H3" s="6" t="str">
        <f>'仮オッズ'!A2</f>
        <v>ゆーや</v>
      </c>
      <c r="I3" s="6">
        <f t="shared" ref="I3:I8" si="1">1/C3</f>
        <v>0.475</v>
      </c>
    </row>
    <row r="4">
      <c r="B4" s="6" t="str">
        <f>'仮オッズ'!A3</f>
        <v>たいよう</v>
      </c>
      <c r="C4" s="8">
        <f>'仮オッズ'!D3</f>
        <v>2.352941176</v>
      </c>
      <c r="E4" s="6" t="str">
        <f>'仮オッズ'!A3</f>
        <v>たいよう</v>
      </c>
      <c r="F4" s="6">
        <f>1/(1-(1-(1/'仮オッズ'!D3))^3)</f>
        <v>1.234734629</v>
      </c>
      <c r="H4" s="6" t="str">
        <f>'仮オッズ'!A3</f>
        <v>たいよう</v>
      </c>
      <c r="I4" s="6">
        <f t="shared" si="1"/>
        <v>0.425</v>
      </c>
    </row>
    <row r="5">
      <c r="B5" s="6" t="str">
        <f>'仮オッズ'!A4</f>
        <v>はせりょー</v>
      </c>
      <c r="C5" s="8">
        <f>'仮オッズ'!D4</f>
        <v>5.714285714</v>
      </c>
      <c r="E5" s="6" t="str">
        <f>'仮オッズ'!A4</f>
        <v>はせりょー</v>
      </c>
      <c r="F5" s="6">
        <f>1/(1-(1-(1/'仮オッズ'!D4))^3)</f>
        <v>2.280582974</v>
      </c>
      <c r="H5" s="6" t="str">
        <f>'仮オッズ'!A4</f>
        <v>はせりょー</v>
      </c>
      <c r="I5" s="6">
        <f t="shared" si="1"/>
        <v>0.175</v>
      </c>
    </row>
    <row r="6">
      <c r="B6" s="6" t="str">
        <f>'仮オッズ'!A5</f>
        <v>みわ</v>
      </c>
      <c r="C6" s="8">
        <f>'仮オッズ'!D5</f>
        <v>13.33333333</v>
      </c>
      <c r="E6" s="6" t="str">
        <f>'仮オッズ'!A5</f>
        <v>みわ</v>
      </c>
      <c r="F6" s="6">
        <f>1/(1-(1-(1/'仮オッズ'!D5))^3)</f>
        <v>4.795085038</v>
      </c>
      <c r="H6" s="6" t="str">
        <f>'仮オッズ'!A5</f>
        <v>みわ</v>
      </c>
      <c r="I6" s="6">
        <f t="shared" si="1"/>
        <v>0.075</v>
      </c>
    </row>
    <row r="7">
      <c r="B7" s="6" t="str">
        <f>'仮オッズ'!A6</f>
        <v>こーた</v>
      </c>
      <c r="C7" s="8">
        <f>'仮オッズ'!D6</f>
        <v>13.33333333</v>
      </c>
      <c r="E7" s="6" t="str">
        <f>'仮オッズ'!A6</f>
        <v>こーた</v>
      </c>
      <c r="F7" s="6">
        <f>1/(1-(1-(1/'仮オッズ'!D6))^3)</f>
        <v>4.795085038</v>
      </c>
      <c r="H7" s="6" t="str">
        <f>'仮オッズ'!A6</f>
        <v>こーた</v>
      </c>
      <c r="I7" s="6">
        <f t="shared" si="1"/>
        <v>0.075</v>
      </c>
    </row>
    <row r="8">
      <c r="B8" s="6" t="str">
        <f>'仮オッズ'!A7</f>
        <v>いずみ</v>
      </c>
      <c r="C8" s="8">
        <f>'仮オッズ'!D7</f>
        <v>40</v>
      </c>
      <c r="E8" s="6" t="str">
        <f>'仮オッズ'!A7</f>
        <v>いずみ</v>
      </c>
      <c r="F8" s="6">
        <f>1/(1-(1-(1/'仮オッズ'!D7))^3)</f>
        <v>13.67229225</v>
      </c>
      <c r="H8" s="6" t="str">
        <f>'仮オッズ'!A7</f>
        <v>いずみ</v>
      </c>
      <c r="I8" s="6">
        <f t="shared" si="1"/>
        <v>0.025</v>
      </c>
    </row>
    <row r="9">
      <c r="B9" s="6" t="str">
        <f>'仮オッズ'!A8</f>
        <v>未選択</v>
      </c>
      <c r="C9" s="6" t="str">
        <f>'仮オッズ'!D8</f>
        <v/>
      </c>
      <c r="E9" s="6" t="str">
        <f>'仮オッズ'!A8</f>
        <v>未選択</v>
      </c>
      <c r="H9" s="6" t="str">
        <f>'仮オッズ'!A8</f>
        <v>未選択</v>
      </c>
    </row>
    <row r="10">
      <c r="B10" s="6" t="str">
        <f>'仮オッズ'!A9</f>
        <v/>
      </c>
      <c r="C10" s="6" t="str">
        <f>'仮オッズ'!D9:D18</f>
        <v/>
      </c>
      <c r="E10" s="6" t="str">
        <f>'仮オッズ'!A9</f>
        <v/>
      </c>
      <c r="H10" s="6" t="str">
        <f>'仮オッズ'!A9</f>
        <v/>
      </c>
    </row>
    <row r="11">
      <c r="B11" s="6" t="str">
        <f>'仮オッズ'!A10</f>
        <v/>
      </c>
      <c r="E11" s="6" t="str">
        <f>'仮オッズ'!A10</f>
        <v/>
      </c>
      <c r="H11" s="6" t="str">
        <f>'仮オッズ'!A10</f>
        <v/>
      </c>
    </row>
    <row r="12">
      <c r="B12" s="1" t="s">
        <v>30</v>
      </c>
      <c r="F12" s="14" t="s">
        <v>6</v>
      </c>
      <c r="G12" s="15"/>
      <c r="H12" s="16"/>
    </row>
    <row r="13">
      <c r="F13" s="17">
        <f>IFS('D馬券購入'!B3='仮オッズ'!$A$2,$I$3,'D馬券購入'!B3='仮オッズ'!$A$3,$I$4,'D馬券購入'!B3='仮オッズ'!$A$4,$I$5,'D馬券購入'!B3='仮オッズ'!$A$5,$I$6,'D馬券購入'!B3='仮オッズ'!$A$6,$I$7,'D馬券購入'!B3='仮オッズ'!$A$7,$I$8)</f>
        <v>0.025</v>
      </c>
      <c r="G13" s="6" t="str">
        <f>IFS('D馬券購入'!C3='仮オッズ'!$A$2,$I$3,'D馬券購入'!C3='仮オッズ'!$A$3,$I$4,'D馬券購入'!C3='仮オッズ'!$A$4,$I$5,'D馬券購入'!C3='仮オッズ'!$A$5,$I$6,'D馬券購入'!C3='仮オッズ'!$A$6,$I$7,'D馬券購入'!C3='仮オッズ'!$A$7,$I$8)</f>
        <v>#N/A</v>
      </c>
      <c r="H13" s="18" t="str">
        <f>IFS('D馬券購入'!D3='仮オッズ'!$A$2,$I$3,'D馬券購入'!D3='仮オッズ'!$A$3,$I$4,'D馬券購入'!D3='仮オッズ'!$A$4,$I$5,'D馬券購入'!D3='仮オッズ'!$A$5,$I$6,'D馬券購入'!D3='仮オッズ'!$A$6,$I$7,'D馬券購入'!D3='仮オッズ'!$A$7,$I$8)</f>
        <v>#N/A</v>
      </c>
    </row>
    <row r="14">
      <c r="A14" s="1" t="s">
        <v>3</v>
      </c>
      <c r="B14" s="8">
        <f>VLOOKUP('D馬券購入'!B$3,'④の計算式'!単勝,2,false)</f>
        <v>40</v>
      </c>
      <c r="F14" s="17" t="str">
        <f>IFS('D馬券購入'!B4='仮オッズ'!$A$2,$I$3,'D馬券購入'!B4='仮オッズ'!$A$3,$I$4,'D馬券購入'!B4='仮オッズ'!$A$4,$I$5,'D馬券購入'!B4='仮オッズ'!$A$5,$I$6,'D馬券購入'!B4='仮オッズ'!$A$6,$I$7,'D馬券購入'!B4='仮オッズ'!$A$7,$I$8)</f>
        <v>#N/A</v>
      </c>
      <c r="G14" s="6" t="str">
        <f>IFS('D馬券購入'!C4='仮オッズ'!$A$2,$I$3,'D馬券購入'!C4='仮オッズ'!$A$3,$I$4,'D馬券購入'!C4='仮オッズ'!$A$4,$I$5,'D馬券購入'!C4='仮オッズ'!$A$5,$I$6,'D馬券購入'!C4='仮オッズ'!$A$6,$I$7,'D馬券購入'!C4='仮オッズ'!$A$7,$I$8)</f>
        <v>#N/A</v>
      </c>
      <c r="H14" s="18" t="str">
        <f>IFS('D馬券購入'!D4='仮オッズ'!$A$2,$I$3,'D馬券購入'!D4='仮オッズ'!$A$3,$I$4,'D馬券購入'!D4='仮オッズ'!$A$4,$I$5,'D馬券購入'!D4='仮オッズ'!$A$5,$I$6,'D馬券購入'!D4='仮オッズ'!$A$6,$I$7,'D馬券購入'!D4='仮オッズ'!$A$7,$I$8)</f>
        <v>#N/A</v>
      </c>
    </row>
    <row r="15">
      <c r="A15" s="1" t="s">
        <v>4</v>
      </c>
      <c r="B15" s="6">
        <f>VLOOKUP('D馬券購入'!B3,'④の計算式'!複勝,2,false)</f>
        <v>13.67229225</v>
      </c>
      <c r="F15" s="17" t="str">
        <f>IFS('D馬券購入'!B5='仮オッズ'!$A$2,$I$3,'D馬券購入'!B5='仮オッズ'!$A$3,$I$4,'D馬券購入'!B5='仮オッズ'!$A$4,$I$5,'D馬券購入'!B5='仮オッズ'!$A$5,$I$6,'D馬券購入'!B5='仮オッズ'!$A$6,$I$7,'D馬券購入'!B5='仮オッズ'!$A$7,$I$8)</f>
        <v>#N/A</v>
      </c>
      <c r="G15" s="6" t="str">
        <f>IFS('D馬券購入'!C5='仮オッズ'!$A$2,$I$3,'D馬券購入'!C5='仮オッズ'!$A$3,$I$4,'D馬券購入'!C5='仮オッズ'!$A$4,$I$5,'D馬券購入'!C5='仮オッズ'!$A$5,$I$6,'D馬券購入'!C5='仮オッズ'!$A$6,$I$7,'D馬券購入'!C5='仮オッズ'!$A$7,$I$8)</f>
        <v>#N/A</v>
      </c>
      <c r="H15" s="18" t="str">
        <f>IFS('D馬券購入'!D5='仮オッズ'!$A$2,$I$3,'D馬券購入'!D5='仮オッズ'!$A$3,$I$4,'D馬券購入'!D5='仮オッズ'!$A$4,$I$5,'D馬券購入'!D5='仮オッズ'!$A$5,$I$6,'D馬券購入'!D5='仮オッズ'!$A$6,$I$7,'D馬券購入'!D5='仮オッズ'!$A$7,$I$8)</f>
        <v>#N/A</v>
      </c>
    </row>
    <row r="16">
      <c r="A16" s="1" t="s">
        <v>31</v>
      </c>
      <c r="B16" s="1" t="str">
        <f>1/((F13*(G13/(1-F13))*(H13/(1-F13-G13))))</f>
        <v>#N/A</v>
      </c>
      <c r="F16" s="17" t="str">
        <f>IFS('D馬券購入'!B6='仮オッズ'!$A$2,$I$3,'D馬券購入'!B6='仮オッズ'!$A$3,$I$4,'D馬券購入'!B6='仮オッズ'!$A$4,$I$5,'D馬券購入'!B6='仮オッズ'!$A$5,$I$6,'D馬券購入'!B6='仮オッズ'!$A$6,$I$7,'D馬券購入'!B6='仮オッズ'!$A$7,$I$8)</f>
        <v>#N/A</v>
      </c>
      <c r="G16" s="6" t="str">
        <f>IFS('D馬券購入'!C6='仮オッズ'!$A$2,$I$3,'D馬券購入'!C6='仮オッズ'!$A$3,$I$4,'D馬券購入'!C6='仮オッズ'!$A$4,$I$5,'D馬券購入'!C6='仮オッズ'!$A$5,$I$6,'D馬券購入'!C6='仮オッズ'!$A$6,$I$7,'D馬券購入'!C6='仮オッズ'!$A$7,$I$8)</f>
        <v>#N/A</v>
      </c>
      <c r="H16" s="18" t="str">
        <f>IFS('D馬券購入'!D6='仮オッズ'!$A$2,$I$3,'D馬券購入'!D6='仮オッズ'!$A$3,$I$4,'D馬券購入'!D6='仮オッズ'!$A$4,$I$5,'D馬券購入'!D6='仮オッズ'!$A$5,$I$6,'D馬券購入'!D6='仮オッズ'!$A$6,$I$7,'D馬券購入'!D6='仮オッズ'!$A$7,$I$8)</f>
        <v>#N/A</v>
      </c>
    </row>
    <row r="17">
      <c r="A17" s="1" t="s">
        <v>37</v>
      </c>
      <c r="B17" s="6" t="str">
        <f>1/(F13*(G13/(1-F13))*(H13/(1-F13-G13))+F13*(H13/(1-F13))*(G13/(1-F13-H13))+G13*(F13/(1-G13))*(H13/(1-F13-G13))+G13*(H13/(1-G13))*(F13/(1-G13-H13))+H13*(F13/(1-H13))*(G13/(1-H13-F13))+H13*(G13/(1-H13))*(F13/(1-G13-F13)))</f>
        <v>#N/A</v>
      </c>
      <c r="F17" s="17" t="str">
        <f>IFS('D馬券購入'!B7='仮オッズ'!$A$2,$I$3,'D馬券購入'!B7='仮オッズ'!$A$3,$I$4,'D馬券購入'!B7='仮オッズ'!$A$4,$I$5,'D馬券購入'!B7='仮オッズ'!$A$5,$I$6,'D馬券購入'!B7='仮オッズ'!$A$6,$I$7,'D馬券購入'!B7='仮オッズ'!$A$7,$I$8)</f>
        <v>#N/A</v>
      </c>
      <c r="G17" s="6" t="str">
        <f>IFS('D馬券購入'!C7='仮オッズ'!$A$2,$I$3,'D馬券購入'!C7='仮オッズ'!$A$3,$I$4,'D馬券購入'!C7='仮オッズ'!$A$4,$I$5,'D馬券購入'!C7='仮オッズ'!$A$5,$I$6,'D馬券購入'!C7='仮オッズ'!$A$6,$I$7,'D馬券購入'!C7='仮オッズ'!$A$7,$I$8)</f>
        <v>#N/A</v>
      </c>
      <c r="H17" s="18" t="str">
        <f>IFS('D馬券購入'!D7='仮オッズ'!$A$2,$I$3,'D馬券購入'!D7='仮オッズ'!$A$3,$I$4,'D馬券購入'!D7='仮オッズ'!$A$4,$I$5,'D馬券購入'!D7='仮オッズ'!$A$5,$I$6,'D馬券購入'!D7='仮オッズ'!$A$6,$I$7,'D馬券購入'!D7='仮オッズ'!$A$7,$I$8)</f>
        <v>#N/A</v>
      </c>
    </row>
    <row r="18">
      <c r="F18" s="17" t="str">
        <f>IFS('D馬券購入'!B8='仮オッズ'!$A$2,$I$3,'D馬券購入'!B8='仮オッズ'!$A$3,$I$4,'D馬券購入'!B8='仮オッズ'!$A$4,$I$5,'D馬券購入'!B8='仮オッズ'!$A$5,$I$6,'D馬券購入'!B8='仮オッズ'!$A$6,$I$7,'D馬券購入'!B8='仮オッズ'!$A$7,$I$8)</f>
        <v>#N/A</v>
      </c>
      <c r="G18" s="6" t="str">
        <f>IFS('D馬券購入'!C8='仮オッズ'!$A$2,$I$3,'D馬券購入'!C8='仮オッズ'!$A$3,$I$4,'D馬券購入'!C8='仮オッズ'!$A$4,$I$5,'D馬券購入'!C8='仮オッズ'!$A$5,$I$6,'D馬券購入'!C8='仮オッズ'!$A$6,$I$7,'D馬券購入'!C8='仮オッズ'!$A$7,$I$8)</f>
        <v>#N/A</v>
      </c>
      <c r="H18" s="18" t="str">
        <f>IFS('D馬券購入'!D8='仮オッズ'!$A$2,$I$3,'D馬券購入'!D8='仮オッズ'!$A$3,$I$4,'D馬券購入'!D8='仮オッズ'!$A$4,$I$5,'D馬券購入'!D8='仮オッズ'!$A$5,$I$6,'D馬券購入'!D8='仮オッズ'!$A$6,$I$7,'D馬券購入'!D8='仮オッズ'!$A$7,$I$8)</f>
        <v>#N/A</v>
      </c>
    </row>
    <row r="19">
      <c r="B19" s="1" t="s">
        <v>41</v>
      </c>
      <c r="C19" s="1" t="s">
        <v>42</v>
      </c>
      <c r="D19" s="1" t="s">
        <v>43</v>
      </c>
      <c r="F19" s="22" t="str">
        <f>IFS('D馬券購入'!B9='仮オッズ'!$A$2,$I$3,'D馬券購入'!B9='仮オッズ'!$A$3,$I$4,'D馬券購入'!B9='仮オッズ'!$A$4,$I$5,'D馬券購入'!B9='仮オッズ'!$A$5,$I$6,'D馬券購入'!B9='仮オッズ'!$A$6,$I$7,'D馬券購入'!B9='仮オッズ'!$A$7,$I$8)</f>
        <v>#N/A</v>
      </c>
      <c r="G19" s="23" t="str">
        <f>IFS('D馬券購入'!C9='仮オッズ'!$A$2,$I$3,'D馬券購入'!C9='仮オッズ'!$A$3,$I$4,'D馬券購入'!C9='仮オッズ'!$A$4,$I$5,'D馬券購入'!C9='仮オッズ'!$A$5,$I$6,'D馬券購入'!C9='仮オッズ'!$A$6,$I$7,'D馬券購入'!C9='仮オッズ'!$A$7,$I$8)</f>
        <v>#N/A</v>
      </c>
      <c r="H19" s="24" t="str">
        <f>IFS('D馬券購入'!D9='仮オッズ'!$A$2,$I$3,'D馬券購入'!D9='仮オッズ'!$A$3,$I$4,'D馬券購入'!D9='仮オッズ'!$A$4,$I$5,'D馬券購入'!D9='仮オッズ'!$A$5,$I$6,'D馬券購入'!D9='仮オッズ'!$A$6,$I$7,'D馬券購入'!D9='仮オッズ'!$A$7,$I$8)</f>
        <v>#N/A</v>
      </c>
    </row>
    <row r="20">
      <c r="A20" s="1" t="s">
        <v>30</v>
      </c>
      <c r="B20" s="6">
        <f>IFS('D馬券購入'!A3="単勝",$B$14,'D馬券購入'!A3="複勝",$B$15,'D馬券購入'!A3="三連単",$B$16,'D馬券購入'!A3="三連複",$B$17)</f>
        <v>13.67229225</v>
      </c>
      <c r="C20" s="6">
        <f t="shared" ref="C20:C24" si="2">IF(B20&lt;1.1,1.1,B20)</f>
        <v>13.67229225</v>
      </c>
      <c r="D20" s="6">
        <f t="shared" ref="D20:D24" si="3">IFERROR(C20,"未選択")</f>
        <v>13.67229225</v>
      </c>
    </row>
    <row r="21">
      <c r="A21" s="1" t="s">
        <v>44</v>
      </c>
      <c r="B21" s="6" t="str">
        <f>IFS('D馬券購入'!A4="単勝",$G$22,'D馬券購入'!A4="複勝",$G$23,'D馬券購入'!A4="三連単",$G$24,'D馬券購入'!A4="三連複",$G$25)</f>
        <v>#N/A</v>
      </c>
      <c r="C21" s="6" t="str">
        <f t="shared" si="2"/>
        <v>#N/A</v>
      </c>
      <c r="D21" s="6" t="str">
        <f t="shared" si="3"/>
        <v>未選択</v>
      </c>
      <c r="F21" s="14" t="s">
        <v>45</v>
      </c>
      <c r="G21" s="25" t="s">
        <v>12</v>
      </c>
      <c r="H21" s="26" t="s">
        <v>13</v>
      </c>
      <c r="I21" s="14" t="s">
        <v>46</v>
      </c>
      <c r="J21" s="15"/>
      <c r="K21" s="26" t="s">
        <v>13</v>
      </c>
      <c r="L21" s="14" t="s">
        <v>47</v>
      </c>
      <c r="M21" s="15"/>
      <c r="N21" s="16"/>
      <c r="O21" s="14" t="s">
        <v>48</v>
      </c>
      <c r="P21" s="15"/>
      <c r="Q21" s="16"/>
    </row>
    <row r="22">
      <c r="A22" s="1" t="s">
        <v>49</v>
      </c>
      <c r="B22" s="6" t="str">
        <f>IFS('D馬券購入'!A5="単勝",$J$22,'D馬券購入'!A5="複勝",$J$23,'D馬券購入'!A5="三連単",$J$24,'D馬券購入'!A5="三連複",$J$25)</f>
        <v>#N/A</v>
      </c>
      <c r="C22" s="6" t="str">
        <f t="shared" si="2"/>
        <v>#N/A</v>
      </c>
      <c r="D22" s="6" t="str">
        <f t="shared" si="3"/>
        <v>未選択</v>
      </c>
      <c r="F22" s="27" t="s">
        <v>3</v>
      </c>
      <c r="G22" s="6" t="str">
        <f>VLOOKUP('D馬券購入'!B$4,'④の計算式'!単勝,2,false)</f>
        <v>#N/A</v>
      </c>
      <c r="H22" s="18" t="str">
        <f>IF('D馬券購入'!B4='仮オッズ'!$B$17,"的中","不的中")</f>
        <v>不的中</v>
      </c>
      <c r="I22" s="27" t="s">
        <v>3</v>
      </c>
      <c r="J22" s="6" t="str">
        <f>VLOOKUP('D馬券購入'!$B$5,'④の計算式'!単勝,2,false)</f>
        <v>#N/A</v>
      </c>
      <c r="K22" s="18" t="str">
        <f>IF('D馬券購入'!B5='仮オッズ'!$B$17,"的中","不的中")</f>
        <v>不的中</v>
      </c>
      <c r="L22" s="27" t="s">
        <v>3</v>
      </c>
      <c r="M22" s="6" t="str">
        <f>VLOOKUP('D馬券購入'!$B$6,'④の計算式'!単勝,2,false)</f>
        <v>#N/A</v>
      </c>
      <c r="N22" s="18" t="str">
        <f>IF('D馬券購入'!B6='仮オッズ'!$B$17,"的中","不的中")</f>
        <v>不的中</v>
      </c>
      <c r="O22" s="27" t="s">
        <v>3</v>
      </c>
      <c r="P22" s="6" t="str">
        <f>VLOOKUP('D馬券購入'!$B$7,'④の計算式'!単勝,2,false)</f>
        <v>#N/A</v>
      </c>
      <c r="Q22" s="18" t="str">
        <f>IF('D馬券購入'!B7='仮オッズ'!$B$17,"的中","不的中")</f>
        <v>不的中</v>
      </c>
    </row>
    <row r="23">
      <c r="A23" s="1" t="s">
        <v>47</v>
      </c>
      <c r="B23" s="6" t="str">
        <f>IFS('D馬券購入'!A6="単勝",$M$22,'D馬券購入'!A6="複勝",$M$23,'D馬券購入'!A6="三連単",$M$24,'D馬券購入'!A6="三連複",$M$25)</f>
        <v>#N/A</v>
      </c>
      <c r="C23" s="6" t="str">
        <f t="shared" si="2"/>
        <v>#N/A</v>
      </c>
      <c r="D23" s="6" t="str">
        <f t="shared" si="3"/>
        <v>未選択</v>
      </c>
      <c r="F23" s="27" t="s">
        <v>4</v>
      </c>
      <c r="G23" s="6" t="str">
        <f>VLOOKUP('D馬券購入'!$B$4,'④の計算式'!複勝,2,false)</f>
        <v>#N/A</v>
      </c>
      <c r="H23" s="18" t="str">
        <f>IF(OR('D馬券購入'!B4='仮オッズ'!$B$17,'D馬券購入'!B4='仮オッズ'!$B$18,'D馬券購入'!B4='仮オッズ'!$B$19),"的中","不的中")</f>
        <v>不的中</v>
      </c>
      <c r="I23" s="27" t="s">
        <v>4</v>
      </c>
      <c r="J23" s="6" t="str">
        <f>VLOOKUP('D馬券購入'!$B$5,'④の計算式'!複勝,2,false)</f>
        <v>#N/A</v>
      </c>
      <c r="K23" s="18" t="str">
        <f>IF(OR('D馬券購入'!B5='仮オッズ'!$B$17,'D馬券購入'!B5='仮オッズ'!$B$18,'D馬券購入'!B5='仮オッズ'!$B$19),"的中","不的中")</f>
        <v>不的中</v>
      </c>
      <c r="L23" s="27" t="s">
        <v>4</v>
      </c>
      <c r="M23" s="6" t="str">
        <f>VLOOKUP('D馬券購入'!$B$6,'④の計算式'!複勝,2,false)</f>
        <v>#N/A</v>
      </c>
      <c r="N23" s="18" t="str">
        <f>IF(OR('D馬券購入'!B6='仮オッズ'!$B$17,'D馬券購入'!B6='仮オッズ'!$B$18,'D馬券購入'!B6='仮オッズ'!$B$19),"的中","不的中")</f>
        <v>不的中</v>
      </c>
      <c r="O23" s="27" t="s">
        <v>4</v>
      </c>
      <c r="P23" s="6" t="str">
        <f>VLOOKUP('D馬券購入'!$B$7,'④の計算式'!複勝,2,false)</f>
        <v>#N/A</v>
      </c>
      <c r="Q23" s="18" t="str">
        <f>IF(OR('D馬券購入'!B7='仮オッズ'!$B$17,'D馬券購入'!B7='仮オッズ'!$B$18,'D馬券購入'!B7='仮オッズ'!$B$19),"的中","不的中")</f>
        <v>不的中</v>
      </c>
    </row>
    <row r="24">
      <c r="A24" s="1" t="s">
        <v>48</v>
      </c>
      <c r="B24" s="6" t="str">
        <f>IFS('D馬券購入'!A7="単勝",$P$22,'D馬券購入'!A7="複勝",$P$23,'D馬券購入'!A7="三連単",$P$24,'D馬券購入'!A7="三連複",$P$25)</f>
        <v>#N/A</v>
      </c>
      <c r="C24" s="6" t="str">
        <f t="shared" si="2"/>
        <v>#N/A</v>
      </c>
      <c r="D24" s="6" t="str">
        <f t="shared" si="3"/>
        <v>未選択</v>
      </c>
      <c r="F24" s="27" t="s">
        <v>31</v>
      </c>
      <c r="G24" s="6" t="str">
        <f>1/((F14*(G14/(1-F14))*(H14/(1-F14-G14))))</f>
        <v>#N/A</v>
      </c>
      <c r="H24" s="18" t="str">
        <f>if(AND('D馬券購入'!B4='仮オッズ'!$B$17,'D馬券購入'!C4='仮オッズ'!$B$18,'D馬券購入'!D4='仮オッズ'!$B$19),"的中","不的中")</f>
        <v>不的中</v>
      </c>
      <c r="I24" s="27" t="s">
        <v>31</v>
      </c>
      <c r="J24" s="6" t="str">
        <f>1/((F15*(G15/(1-F15))*(H15/(1-F15-G15))))</f>
        <v>#N/A</v>
      </c>
      <c r="K24" s="18" t="str">
        <f>if(AND('D馬券購入'!B5='仮オッズ'!$B$17,'D馬券購入'!C5='仮オッズ'!$B$18,'D馬券購入'!D5='仮オッズ'!$B$19),"的中","不的中")</f>
        <v>不的中</v>
      </c>
      <c r="L24" s="27" t="s">
        <v>31</v>
      </c>
      <c r="M24" s="6" t="str">
        <f>1/((F16*(G16/(1-F16))*(H16/(1-F16-G16))))</f>
        <v>#N/A</v>
      </c>
      <c r="N24" s="18" t="str">
        <f>if(AND('D馬券購入'!B6='仮オッズ'!$B$17,'D馬券購入'!C6='仮オッズ'!$B$18,'D馬券購入'!D6='仮オッズ'!$B$19),"的中","不的中")</f>
        <v>不的中</v>
      </c>
      <c r="O24" s="27" t="s">
        <v>31</v>
      </c>
      <c r="P24" s="6" t="str">
        <f>1/((F17*(G17/(1-F17))*(H17/(1-F17-G17))))</f>
        <v>#N/A</v>
      </c>
      <c r="Q24" s="18" t="str">
        <f>if(AND('D馬券購入'!B7='仮オッズ'!$B$17,'D馬券購入'!C7='仮オッズ'!$B$18,'D馬券購入'!D7='仮オッズ'!$B$19),"的中","不的中")</f>
        <v>不的中</v>
      </c>
    </row>
    <row r="25">
      <c r="F25" s="28" t="s">
        <v>37</v>
      </c>
      <c r="G25" s="23" t="str">
        <f>1/(F14*(G14/(1-F14))*(H14/(1-F14-G14))+F14*(H14/(1-F14))*(G14/(1-F14-H14))+G14*(F14/(1-G14))*(H14/(1-F14-G14))+G14*(H14/(1-G14))*(F14/(1-G14-H14))+H14*(F14/(1-H14))*(G14/(1-H14-F14))+H14*(G14/(1-H14))*(F14/(1-G14-F14)))</f>
        <v>#N/A</v>
      </c>
      <c r="H25" s="24" t="str">
        <f>IF(AND(OR('仮オッズ'!$B$17='D馬券購入'!B4,'仮オッズ'!$B$18='D馬券購入'!B4,'仮オッズ'!$B$19='D馬券購入'!B4),OR('仮オッズ'!$B$17='D馬券購入'!C4,'仮オッズ'!$B$18='D馬券購入'!C4,'仮オッズ'!$B$19='D馬券購入'!C4),OR('仮オッズ'!$B$17='D馬券購入'!D4,'仮オッズ'!$B$18='D馬券購入'!D4,'仮オッズ'!$B$19='D馬券購入'!D4)),"的中","不的中")</f>
        <v>不的中</v>
      </c>
      <c r="I25" s="28" t="s">
        <v>37</v>
      </c>
      <c r="J25" s="23" t="str">
        <f>1/(F15*(G15*(1-F15))*(H15/(1-F15-G15))+F15*(H15/(1-F15))*(G15/(1-F15-H15))+G15*(F15/(1-G15))*(H15/(1-F15-G15))+G15*(H15/(1-G15))*(F15/(1-G15-H15))+H15*(F15/(1-H15))*(G15/(1-H15-F15))+H15*(G15/(1-H15))*(F15/(1-G15-F15)))</f>
        <v>#N/A</v>
      </c>
      <c r="K25" s="24" t="str">
        <f>IF(AND(OR('仮オッズ'!$B$17='D馬券購入'!B5,'仮オッズ'!$B$18='D馬券購入'!B5,'仮オッズ'!$B$19='D馬券購入'!B5),OR('仮オッズ'!$B$17='D馬券購入'!C5,'仮オッズ'!$B$18='D馬券購入'!C5,'仮オッズ'!$B$19='D馬券購入'!C5),OR('仮オッズ'!$B$17='D馬券購入'!D5,'仮オッズ'!$B$18='D馬券購入'!D5,'仮オッズ'!$B$19='D馬券購入'!D5)),"的中","不的中")</f>
        <v>不的中</v>
      </c>
      <c r="L25" s="28" t="s">
        <v>37</v>
      </c>
      <c r="M25" s="23" t="str">
        <f>1/(F16*(G16*(1-F16))*(H16/(1-F16-G16))+F16*(H16/(1-F16))*(G16/(1-F16-H16))+G16*(F16/(1-G16))*(H16/(1-F16-G16))+G16*(H16/(1-G16))*(F16/(1-G16-H16))+H16*(F16/(1-H16))*(G16/(1-H16-F16))+H16*(G16/(1-H16))*(F16/(1-G16-F16)))</f>
        <v>#N/A</v>
      </c>
      <c r="N25" s="24" t="str">
        <f>IF(AND(OR('仮オッズ'!$B$17='D馬券購入'!B6,'仮オッズ'!$B$18='D馬券購入'!B6,'仮オッズ'!$B$19='D馬券購入'!B6),OR('仮オッズ'!$B$17='D馬券購入'!C6,'仮オッズ'!$B$18='D馬券購入'!C6,'仮オッズ'!$B$19='D馬券購入'!C6),OR('仮オッズ'!$B$17='D馬券購入'!D6,'仮オッズ'!$B$18='D馬券購入'!D6,'仮オッズ'!$B$19='D馬券購入'!D6)),"的中","不的中")</f>
        <v>不的中</v>
      </c>
      <c r="O25" s="28" t="s">
        <v>37</v>
      </c>
      <c r="P25" s="23" t="str">
        <f>1/(F17*(G17*(1-F17))*(H17/(1-F17-G17))+F17*(H17/(1-F17))*(G17/(1-F17-H17))+G17*(F17/(1-G17))*(H17/(1-F17-G17))+G17*(H17/(1-G17))*(F17/(1-G17-H17))+H17*(F17/(1-H17))*(G17/(1-H17-F17))+H17*(G17/(1-H17))*(F17/(1-G17-F17)))</f>
        <v>#N/A</v>
      </c>
      <c r="Q25" s="24" t="str">
        <f>IF(AND(OR('仮オッズ'!$B$17='D馬券購入'!B7,'仮オッズ'!$B$18='D馬券購入'!B7,'仮オッズ'!$B$19='D馬券購入'!B7),OR('仮オッズ'!$B$17='D馬券購入'!C7,'仮オッズ'!$B$18='D馬券購入'!C7,'仮オッズ'!$B$19='D馬券購入'!C7),OR('仮オッズ'!$B$17='D馬券購入'!D7,'仮オッズ'!$B$18='D馬券購入'!D7,'仮オッズ'!$B$19='D馬券購入'!D7)),"的中","不的中")</f>
        <v>不的中</v>
      </c>
    </row>
    <row r="27">
      <c r="B27" s="1" t="s">
        <v>50</v>
      </c>
    </row>
    <row r="28">
      <c r="B28" s="1" t="s">
        <v>51</v>
      </c>
      <c r="C28" s="6" t="str">
        <f>IF('D馬券購入'!B3='仮オッズ'!$B$17,"的中","不的中")</f>
        <v>不的中</v>
      </c>
    </row>
    <row r="29">
      <c r="B29" s="1" t="s">
        <v>52</v>
      </c>
      <c r="C29" s="6" t="str">
        <f>if(AND('D馬券購入'!B3='仮オッズ'!$B$17,'D馬券購入'!C3='仮オッズ'!$B$18,'D馬券購入'!D3='仮オッズ'!$B$19),"的中","不的中")</f>
        <v>不的中</v>
      </c>
    </row>
    <row r="30">
      <c r="B30" s="1" t="s">
        <v>53</v>
      </c>
      <c r="C30" s="6" t="str">
        <f>IF(OR('D馬券購入'!B3='仮オッズ'!$B$17,'D馬券購入'!B3='仮オッズ'!$B$18,'D馬券購入'!B3='仮オッズ'!$B$19),"的中","不的中")</f>
        <v>不的中</v>
      </c>
    </row>
    <row r="31">
      <c r="B31" s="1" t="s">
        <v>54</v>
      </c>
      <c r="C31" s="6" t="str">
        <f>IF(AND(OR('仮オッズ'!$B$17='D馬券購入'!B3,'仮オッズ'!$B$18='D馬券購入'!B3,'仮オッズ'!$B$19='D馬券購入'!B3),OR('仮オッズ'!$B$17='D馬券購入'!C3,'仮オッズ'!$B$18='D馬券購入'!C3,'仮オッズ'!$B$19='D馬券購入'!C3),OR('仮オッズ'!$B$17='D馬券購入'!D3,'仮オッズ'!$B$18='D馬券購入'!D3,'仮オッズ'!$B$19='D馬券購入'!D3)),"的中","不的中")</f>
        <v>不的中</v>
      </c>
    </row>
    <row r="34">
      <c r="B34" s="1" t="s">
        <v>43</v>
      </c>
      <c r="C34" s="1" t="s">
        <v>55</v>
      </c>
      <c r="F34" s="1" t="s">
        <v>56</v>
      </c>
    </row>
    <row r="35">
      <c r="A35" s="1" t="s">
        <v>30</v>
      </c>
      <c r="B35" s="6" t="str">
        <f>IFS('D馬券購入'!A3="単勝",$C$28,'D馬券購入'!A3="三連単",$C$29,'D馬券購入'!A3="複勝",$C$30,'D馬券購入'!A3="三連複",$C$31,'D馬券購入'!A3="未選択","×")</f>
        <v>不的中</v>
      </c>
      <c r="C35" s="6">
        <f>IFS(B35="的中",'D馬券購入'!E3*'D馬券購入'!F3,B35="不的中",0,B35="×",0)</f>
        <v>0</v>
      </c>
      <c r="F35" s="29">
        <f>CEILING(SUM(C35:C39),5)</f>
        <v>0</v>
      </c>
    </row>
    <row r="36">
      <c r="A36" s="1" t="s">
        <v>44</v>
      </c>
      <c r="B36" s="6" t="str">
        <f>IFS('D馬券購入'!A4="単勝",$H$22,'D馬券購入'!A4="三連単",$H$24,'D馬券購入'!A4="複勝",$H$23,'D馬券購入'!A4="三連複",$H$25,'D馬券購入'!A4="未選択","×")</f>
        <v>×</v>
      </c>
      <c r="C36" s="6">
        <f>IFS(B36="的中",'D馬券購入'!E4*'D馬券購入'!F4,B36="不的中",0,B36="×",0)</f>
        <v>0</v>
      </c>
    </row>
    <row r="37">
      <c r="A37" s="1" t="s">
        <v>49</v>
      </c>
      <c r="B37" s="6" t="str">
        <f>IFS('D馬券購入'!A5="単勝",$K$22,'D馬券購入'!A5="三連単",$K$24,'D馬券購入'!A5="複勝",$K$23,'D馬券購入'!A5="三連複",$K$25,'D馬券購入'!A5="未選択","×")</f>
        <v>×</v>
      </c>
      <c r="C37" s="6">
        <f>IFS(B37="的中",'D馬券購入'!E5*'D馬券購入'!F5,B37="不的中",0,B37="×",0)</f>
        <v>0</v>
      </c>
    </row>
    <row r="38">
      <c r="A38" s="1" t="s">
        <v>47</v>
      </c>
      <c r="B38" s="6" t="str">
        <f>IFS('D馬券購入'!A6="単勝",$N$22,'D馬券購入'!A6="三連単",$N$24,'D馬券購入'!A6="複勝",$N$23,'D馬券購入'!A6="三連複",$N$25,'D馬券購入'!A6="未選択","×")</f>
        <v>×</v>
      </c>
      <c r="C38" s="6">
        <f>IFS(B38="的中",'D馬券購入'!E6*'D馬券購入'!F6,B38="不的中",0,B38="×",0)</f>
        <v>0</v>
      </c>
    </row>
    <row r="39">
      <c r="A39" s="1" t="s">
        <v>48</v>
      </c>
      <c r="B39" s="6" t="str">
        <f>IFS('D馬券購入'!A7="単勝",$Q$22,'D馬券購入'!A7="三連単",$Q$24,'D馬券購入'!A7="複勝",$Q$23,'D馬券購入'!A7="三連複",$Q$25,'D馬券購入'!A7="未選択","×")</f>
        <v>×</v>
      </c>
      <c r="C39" s="6">
        <f>IFS(B39="的中",'D馬券購入'!E7*'D馬券購入'!F7,B39="不的中",0,B39="×",0)</f>
        <v>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4" width="19.75"/>
    <col customWidth="1" min="7" max="7" width="12.38"/>
  </cols>
  <sheetData>
    <row r="2" ht="30.75" customHeight="1">
      <c r="A2" s="2" t="s">
        <v>1</v>
      </c>
      <c r="B2" s="4" t="s">
        <v>10</v>
      </c>
      <c r="C2" s="5"/>
      <c r="D2" s="7"/>
      <c r="E2" s="2" t="s">
        <v>11</v>
      </c>
      <c r="F2" s="2" t="s">
        <v>12</v>
      </c>
      <c r="G2" s="2" t="s">
        <v>13</v>
      </c>
      <c r="H2" s="2" t="s">
        <v>14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30.75" customHeight="1">
      <c r="A3" s="11" t="s">
        <v>4</v>
      </c>
      <c r="B3" s="11" t="s">
        <v>19</v>
      </c>
      <c r="C3" s="11" t="s">
        <v>20</v>
      </c>
      <c r="D3" s="11" t="s">
        <v>20</v>
      </c>
      <c r="E3" s="11">
        <v>2220.0</v>
      </c>
      <c r="F3" s="12">
        <f>'④の計算式'!D20</f>
        <v>13.67229225</v>
      </c>
      <c r="G3" s="13" t="str">
        <f>IF(COUNTIF('仮オッズ'!$A$17:$B$22,"未選択")&gt;0,"×",'④の計算式'!B35)</f>
        <v>不的中</v>
      </c>
      <c r="H3" s="13">
        <f>SUM(E3:E7)</f>
        <v>2220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30.75" customHeight="1">
      <c r="A4" s="11" t="s">
        <v>20</v>
      </c>
      <c r="B4" s="11" t="s">
        <v>20</v>
      </c>
      <c r="C4" s="11" t="s">
        <v>20</v>
      </c>
      <c r="D4" s="11" t="s">
        <v>20</v>
      </c>
      <c r="E4" s="11">
        <v>0.0</v>
      </c>
      <c r="F4" s="12" t="str">
        <f>'④の計算式'!D21</f>
        <v>未選択</v>
      </c>
      <c r="G4" s="13" t="str">
        <f>IF(COUNTIF('仮オッズ'!$A$17:$B$22,"未選択")&gt;0,"×",'④の計算式'!B36)</f>
        <v>×</v>
      </c>
      <c r="H4" s="19" t="s">
        <v>33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30.75" customHeight="1">
      <c r="A5" s="11" t="s">
        <v>20</v>
      </c>
      <c r="B5" s="11" t="s">
        <v>20</v>
      </c>
      <c r="C5" s="11" t="s">
        <v>20</v>
      </c>
      <c r="D5" s="11" t="s">
        <v>20</v>
      </c>
      <c r="E5" s="11"/>
      <c r="F5" s="12" t="str">
        <f>'④の計算式'!D22</f>
        <v>未選択</v>
      </c>
      <c r="G5" s="13" t="str">
        <f>IF(COUNTIF('仮オッズ'!$A$17:$B$22,"未選択")&gt;0,"×",'④の計算式'!B37)</f>
        <v>×</v>
      </c>
      <c r="H5" s="20">
        <f>IF(COUNTIF('仮オッズ'!$B$17:$B$22,"未選択")&gt;0,"×",'④の計算式'!F35)</f>
        <v>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30.75" customHeight="1">
      <c r="A6" s="11" t="s">
        <v>20</v>
      </c>
      <c r="B6" s="11" t="s">
        <v>20</v>
      </c>
      <c r="C6" s="11" t="s">
        <v>20</v>
      </c>
      <c r="D6" s="11" t="s">
        <v>20</v>
      </c>
      <c r="E6" s="11"/>
      <c r="F6" s="12" t="str">
        <f>'④の計算式'!D23</f>
        <v>未選択</v>
      </c>
      <c r="G6" s="13" t="str">
        <f>IF(COUNTIF('仮オッズ'!$A$17:$B$22,"未選択")&gt;0,"×",'④の計算式'!B38)</f>
        <v>×</v>
      </c>
      <c r="H6" s="19" t="s">
        <v>36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ht="30.75" customHeight="1">
      <c r="A7" s="11" t="s">
        <v>20</v>
      </c>
      <c r="B7" s="11" t="s">
        <v>20</v>
      </c>
      <c r="C7" s="11" t="s">
        <v>20</v>
      </c>
      <c r="D7" s="11" t="s">
        <v>20</v>
      </c>
      <c r="E7" s="11"/>
      <c r="F7" s="12" t="str">
        <f>'④の計算式'!D24</f>
        <v>未選択</v>
      </c>
      <c r="G7" s="13" t="str">
        <f>IF(COUNTIF('仮オッズ'!$A$17:$B$22,"未選択")&gt;0,"×",'④の計算式'!B39)</f>
        <v>×</v>
      </c>
      <c r="H7" s="20">
        <f>IF(H5="×","×",H5-H3)</f>
        <v>-2220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15">
      <c r="D15" s="21"/>
    </row>
  </sheetData>
  <mergeCells count="1">
    <mergeCell ref="B2:D2"/>
  </mergeCells>
  <dataValidations>
    <dataValidation type="list" allowBlank="1" showErrorMessage="1" sqref="A3:A7">
      <formula1>"未選択,単勝,複勝,三連単,三連複"</formula1>
    </dataValidation>
    <dataValidation type="list" allowBlank="1" showErrorMessage="1" sqref="B3:D7">
      <formula1>'仮オッズ'!$A$2:$A$11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" t="s">
        <v>0</v>
      </c>
    </row>
    <row r="2">
      <c r="B2" s="1" t="s">
        <v>3</v>
      </c>
      <c r="E2" s="1" t="s">
        <v>4</v>
      </c>
      <c r="H2" s="1" t="s">
        <v>6</v>
      </c>
      <c r="I2" s="1" t="s">
        <v>8</v>
      </c>
    </row>
    <row r="3">
      <c r="B3" s="6" t="str">
        <f>'仮オッズ'!A2</f>
        <v>ゆーや</v>
      </c>
      <c r="C3" s="8">
        <f>'仮オッズ'!D2</f>
        <v>2.105263158</v>
      </c>
      <c r="E3" s="6" t="str">
        <f>'仮オッズ'!A2</f>
        <v>ゆーや</v>
      </c>
      <c r="F3" s="6">
        <f>1/(1-(1-(1/'仮オッズ'!D2))^3)</f>
        <v>1.169184676</v>
      </c>
      <c r="H3" s="6" t="str">
        <f>'仮オッズ'!A2</f>
        <v>ゆーや</v>
      </c>
      <c r="I3" s="6">
        <f t="shared" ref="I3:I8" si="1">1/C3</f>
        <v>0.475</v>
      </c>
    </row>
    <row r="4">
      <c r="B4" s="6" t="str">
        <f>'仮オッズ'!A3</f>
        <v>たいよう</v>
      </c>
      <c r="C4" s="8">
        <f>'仮オッズ'!D3</f>
        <v>2.352941176</v>
      </c>
      <c r="E4" s="6" t="str">
        <f>'仮オッズ'!A3</f>
        <v>たいよう</v>
      </c>
      <c r="F4" s="6">
        <f>1/(1-(1-(1/'仮オッズ'!D3))^3)</f>
        <v>1.234734629</v>
      </c>
      <c r="H4" s="6" t="str">
        <f>'仮オッズ'!A3</f>
        <v>たいよう</v>
      </c>
      <c r="I4" s="6">
        <f t="shared" si="1"/>
        <v>0.425</v>
      </c>
    </row>
    <row r="5">
      <c r="B5" s="6" t="str">
        <f>'仮オッズ'!A4</f>
        <v>はせりょー</v>
      </c>
      <c r="C5" s="8">
        <f>'仮オッズ'!D4</f>
        <v>5.714285714</v>
      </c>
      <c r="E5" s="6" t="str">
        <f>'仮オッズ'!A4</f>
        <v>はせりょー</v>
      </c>
      <c r="F5" s="6">
        <f>1/(1-(1-(1/'仮オッズ'!D4))^3)</f>
        <v>2.280582974</v>
      </c>
      <c r="H5" s="6" t="str">
        <f>'仮オッズ'!A4</f>
        <v>はせりょー</v>
      </c>
      <c r="I5" s="6">
        <f t="shared" si="1"/>
        <v>0.175</v>
      </c>
    </row>
    <row r="6">
      <c r="B6" s="6" t="str">
        <f>'仮オッズ'!A5</f>
        <v>みわ</v>
      </c>
      <c r="C6" s="8">
        <f>'仮オッズ'!D5</f>
        <v>13.33333333</v>
      </c>
      <c r="E6" s="6" t="str">
        <f>'仮オッズ'!A5</f>
        <v>みわ</v>
      </c>
      <c r="F6" s="6">
        <f>1/(1-(1-(1/'仮オッズ'!D5))^3)</f>
        <v>4.795085038</v>
      </c>
      <c r="H6" s="6" t="str">
        <f>'仮オッズ'!A5</f>
        <v>みわ</v>
      </c>
      <c r="I6" s="6">
        <f t="shared" si="1"/>
        <v>0.075</v>
      </c>
    </row>
    <row r="7">
      <c r="B7" s="6" t="str">
        <f>'仮オッズ'!A6</f>
        <v>こーた</v>
      </c>
      <c r="C7" s="8">
        <f>'仮オッズ'!D6</f>
        <v>13.33333333</v>
      </c>
      <c r="E7" s="6" t="str">
        <f>'仮オッズ'!A6</f>
        <v>こーた</v>
      </c>
      <c r="F7" s="6">
        <f>1/(1-(1-(1/'仮オッズ'!D6))^3)</f>
        <v>4.795085038</v>
      </c>
      <c r="H7" s="6" t="str">
        <f>'仮オッズ'!A6</f>
        <v>こーた</v>
      </c>
      <c r="I7" s="6">
        <f t="shared" si="1"/>
        <v>0.075</v>
      </c>
    </row>
    <row r="8">
      <c r="B8" s="6" t="str">
        <f>'仮オッズ'!A7</f>
        <v>いずみ</v>
      </c>
      <c r="C8" s="8">
        <f>'仮オッズ'!D7</f>
        <v>40</v>
      </c>
      <c r="E8" s="6" t="str">
        <f>'仮オッズ'!A7</f>
        <v>いずみ</v>
      </c>
      <c r="F8" s="6">
        <f>1/(1-(1-(1/'仮オッズ'!D7))^3)</f>
        <v>13.67229225</v>
      </c>
      <c r="H8" s="6" t="str">
        <f>'仮オッズ'!A7</f>
        <v>いずみ</v>
      </c>
      <c r="I8" s="6">
        <f t="shared" si="1"/>
        <v>0.025</v>
      </c>
    </row>
    <row r="9">
      <c r="B9" s="6" t="str">
        <f>'仮オッズ'!A8</f>
        <v>未選択</v>
      </c>
      <c r="C9" s="6" t="str">
        <f>'仮オッズ'!D8</f>
        <v/>
      </c>
      <c r="E9" s="6" t="str">
        <f>'仮オッズ'!A8</f>
        <v>未選択</v>
      </c>
      <c r="H9" s="6" t="str">
        <f>'仮オッズ'!A8</f>
        <v>未選択</v>
      </c>
    </row>
    <row r="10">
      <c r="B10" s="6" t="str">
        <f>'仮オッズ'!A9</f>
        <v/>
      </c>
      <c r="C10" s="6" t="str">
        <f>'仮オッズ'!D9:D18</f>
        <v/>
      </c>
      <c r="E10" s="6" t="str">
        <f>'仮オッズ'!A9</f>
        <v/>
      </c>
      <c r="H10" s="6" t="str">
        <f>'仮オッズ'!A9</f>
        <v/>
      </c>
    </row>
    <row r="11">
      <c r="B11" s="6" t="str">
        <f>'仮オッズ'!A10</f>
        <v/>
      </c>
      <c r="E11" s="6" t="str">
        <f>'仮オッズ'!A10</f>
        <v/>
      </c>
      <c r="H11" s="6" t="str">
        <f>'仮オッズ'!A10</f>
        <v/>
      </c>
    </row>
    <row r="12">
      <c r="B12" s="1" t="s">
        <v>30</v>
      </c>
      <c r="F12" s="14" t="s">
        <v>6</v>
      </c>
      <c r="G12" s="15"/>
      <c r="H12" s="16"/>
    </row>
    <row r="13">
      <c r="F13" s="17">
        <f>IFS('E馬券購入'!B3='仮オッズ'!$A$2,$I$3,'E馬券購入'!B3='仮オッズ'!$A$3,$I$4,'E馬券購入'!B3='仮オッズ'!$A$4,$I$5,'E馬券購入'!B3='仮オッズ'!$A$5,$I$6,'E馬券購入'!B3='仮オッズ'!$A$6,$I$7,'E馬券購入'!B3='仮オッズ'!$A$7,$I$8)</f>
        <v>0.475</v>
      </c>
      <c r="G13" s="6">
        <f>IFS('E馬券購入'!C3='仮オッズ'!$A$2,$I$3,'E馬券購入'!C3='仮オッズ'!$A$3,$I$4,'E馬券購入'!C3='仮オッズ'!$A$4,$I$5,'E馬券購入'!C3='仮オッズ'!$A$5,$I$6,'E馬券購入'!C3='仮オッズ'!$A$6,$I$7,'E馬券購入'!C3='仮オッズ'!$A$7,$I$8)</f>
        <v>0.175</v>
      </c>
      <c r="H13" s="18">
        <f>IFS('E馬券購入'!D3='仮オッズ'!$A$2,$I$3,'E馬券購入'!D3='仮オッズ'!$A$3,$I$4,'E馬券購入'!D3='仮オッズ'!$A$4,$I$5,'E馬券購入'!D3='仮オッズ'!$A$5,$I$6,'E馬券購入'!D3='仮オッズ'!$A$6,$I$7,'E馬券購入'!D3='仮オッズ'!$A$7,$I$8)</f>
        <v>0.075</v>
      </c>
    </row>
    <row r="14">
      <c r="A14" s="1" t="s">
        <v>3</v>
      </c>
      <c r="B14" s="8">
        <f>VLOOKUP('E馬券購入'!B$3,'⑤の計算式'!単勝,2,false)</f>
        <v>2.105263158</v>
      </c>
      <c r="F14" s="17">
        <f>IFS('E馬券購入'!B4='仮オッズ'!$A$2,$I$3,'E馬券購入'!B4='仮オッズ'!$A$3,$I$4,'E馬券購入'!B4='仮オッズ'!$A$4,$I$5,'E馬券購入'!B4='仮オッズ'!$A$5,$I$6,'E馬券購入'!B4='仮オッズ'!$A$6,$I$7,'E馬券購入'!B4='仮オッズ'!$A$7,$I$8)</f>
        <v>0.025</v>
      </c>
      <c r="G14" s="6" t="str">
        <f>IFS('E馬券購入'!C4='仮オッズ'!$A$2,$I$3,'E馬券購入'!C4='仮オッズ'!$A$3,$I$4,'E馬券購入'!C4='仮オッズ'!$A$4,$I$5,'E馬券購入'!C4='仮オッズ'!$A$5,$I$6,'E馬券購入'!C4='仮オッズ'!$A$6,$I$7,'E馬券購入'!C4='仮オッズ'!$A$7,$I$8)</f>
        <v>#N/A</v>
      </c>
      <c r="H14" s="18" t="str">
        <f>IFS('E馬券購入'!D4='仮オッズ'!$A$2,$I$3,'E馬券購入'!D4='仮オッズ'!$A$3,$I$4,'E馬券購入'!D4='仮オッズ'!$A$4,$I$5,'E馬券購入'!D4='仮オッズ'!$A$5,$I$6,'E馬券購入'!D4='仮オッズ'!$A$6,$I$7,'E馬券購入'!D4='仮オッズ'!$A$7,$I$8)</f>
        <v>#N/A</v>
      </c>
    </row>
    <row r="15">
      <c r="A15" s="1" t="s">
        <v>4</v>
      </c>
      <c r="B15" s="6">
        <f>VLOOKUP('E馬券購入'!B3,'⑤の計算式'!複勝,2,false)</f>
        <v>1.169184676</v>
      </c>
      <c r="F15" s="17">
        <f>IFS('E馬券購入'!B5='仮オッズ'!$A$2,$I$3,'E馬券購入'!B5='仮オッズ'!$A$3,$I$4,'E馬券購入'!B5='仮オッズ'!$A$4,$I$5,'E馬券購入'!B5='仮オッズ'!$A$5,$I$6,'E馬券購入'!B5='仮オッズ'!$A$6,$I$7,'E馬券購入'!B5='仮オッズ'!$A$7,$I$8)</f>
        <v>0.075</v>
      </c>
      <c r="G15" s="6">
        <f>IFS('E馬券購入'!C5='仮オッズ'!$A$2,$I$3,'E馬券購入'!C5='仮オッズ'!$A$3,$I$4,'E馬券購入'!C5='仮オッズ'!$A$4,$I$5,'E馬券購入'!C5='仮オッズ'!$A$5,$I$6,'E馬券購入'!C5='仮オッズ'!$A$6,$I$7,'E馬券購入'!C5='仮オッズ'!$A$7,$I$8)</f>
        <v>0.075</v>
      </c>
      <c r="H15" s="18">
        <f>IFS('E馬券購入'!D5='仮オッズ'!$A$2,$I$3,'E馬券購入'!D5='仮オッズ'!$A$3,$I$4,'E馬券購入'!D5='仮オッズ'!$A$4,$I$5,'E馬券購入'!D5='仮オッズ'!$A$5,$I$6,'E馬券購入'!D5='仮オッズ'!$A$6,$I$7,'E馬券購入'!D5='仮オッズ'!$A$7,$I$8)</f>
        <v>0.025</v>
      </c>
    </row>
    <row r="16">
      <c r="A16" s="1" t="s">
        <v>31</v>
      </c>
      <c r="B16" s="1">
        <f>1/((F13*(G13/(1-F13))*(H13/(1-F13-G13))))</f>
        <v>29.47368421</v>
      </c>
      <c r="F16" s="17">
        <f>IFS('E馬券購入'!B6='仮オッズ'!$A$2,$I$3,'E馬券購入'!B6='仮オッズ'!$A$3,$I$4,'E馬券購入'!B6='仮オッズ'!$A$4,$I$5,'E馬券購入'!B6='仮オッズ'!$A$5,$I$6,'E馬券購入'!B6='仮オッズ'!$A$6,$I$7,'E馬券購入'!B6='仮オッズ'!$A$7,$I$8)</f>
        <v>0.075</v>
      </c>
      <c r="G16" s="6" t="str">
        <f>IFS('E馬券購入'!C6='仮オッズ'!$A$2,$I$3,'E馬券購入'!C6='仮オッズ'!$A$3,$I$4,'E馬券購入'!C6='仮オッズ'!$A$4,$I$5,'E馬券購入'!C6='仮オッズ'!$A$5,$I$6,'E馬券購入'!C6='仮オッズ'!$A$6,$I$7,'E馬券購入'!C6='仮オッズ'!$A$7,$I$8)</f>
        <v>#N/A</v>
      </c>
      <c r="H16" s="18" t="str">
        <f>IFS('E馬券購入'!D6='仮オッズ'!$A$2,$I$3,'E馬券購入'!D6='仮オッズ'!$A$3,$I$4,'E馬券購入'!D6='仮オッズ'!$A$4,$I$5,'E馬券購入'!D6='仮オッズ'!$A$5,$I$6,'E馬券購入'!D6='仮オッズ'!$A$6,$I$7,'E馬券購入'!D6='仮オッズ'!$A$7,$I$8)</f>
        <v>#N/A</v>
      </c>
    </row>
    <row r="17">
      <c r="A17" s="1" t="s">
        <v>37</v>
      </c>
      <c r="B17" s="6">
        <f>1/(F13*(G13/(1-F13))*(H13/(1-F13-G13))+F13*(H13/(1-F13))*(G13/(1-F13-H13))+G13*(F13/(1-G13))*(H13/(1-F13-G13))+G13*(H13/(1-G13))*(F13/(1-G13-H13))+H13*(F13/(1-H13))*(G13/(1-H13-F13))+H13*(G13/(1-H13))*(F13/(1-G13-F13)))</f>
        <v>7.922777561</v>
      </c>
      <c r="F17" s="17">
        <f>IFS('E馬券購入'!B7='仮オッズ'!$A$2,$I$3,'E馬券購入'!B7='仮オッズ'!$A$3,$I$4,'E馬券購入'!B7='仮オッズ'!$A$4,$I$5,'E馬券購入'!B7='仮オッズ'!$A$5,$I$6,'E馬券購入'!B7='仮オッズ'!$A$6,$I$7,'E馬券購入'!B7='仮オッズ'!$A$7,$I$8)</f>
        <v>0.075</v>
      </c>
      <c r="G17" s="6" t="str">
        <f>IFS('E馬券購入'!C7='仮オッズ'!$A$2,$I$3,'E馬券購入'!C7='仮オッズ'!$A$3,$I$4,'E馬券購入'!C7='仮オッズ'!$A$4,$I$5,'E馬券購入'!C7='仮オッズ'!$A$5,$I$6,'E馬券購入'!C7='仮オッズ'!$A$6,$I$7,'E馬券購入'!C7='仮オッズ'!$A$7,$I$8)</f>
        <v>#N/A</v>
      </c>
      <c r="H17" s="18" t="str">
        <f>IFS('E馬券購入'!D7='仮オッズ'!$A$2,$I$3,'E馬券購入'!D7='仮オッズ'!$A$3,$I$4,'E馬券購入'!D7='仮オッズ'!$A$4,$I$5,'E馬券購入'!D7='仮オッズ'!$A$5,$I$6,'E馬券購入'!D7='仮オッズ'!$A$6,$I$7,'E馬券購入'!D7='仮オッズ'!$A$7,$I$8)</f>
        <v>#N/A</v>
      </c>
    </row>
    <row r="18">
      <c r="F18" s="17" t="str">
        <f>IFS('E馬券購入'!B8='仮オッズ'!$A$2,$I$3,'E馬券購入'!B8='仮オッズ'!$A$3,$I$4,'E馬券購入'!B8='仮オッズ'!$A$4,$I$5,'E馬券購入'!B8='仮オッズ'!$A$5,$I$6,'E馬券購入'!B8='仮オッズ'!$A$6,$I$7,'E馬券購入'!B8='仮オッズ'!$A$7,$I$8)</f>
        <v>#N/A</v>
      </c>
      <c r="G18" s="6" t="str">
        <f>IFS('E馬券購入'!C8='仮オッズ'!$A$2,$I$3,'E馬券購入'!C8='仮オッズ'!$A$3,$I$4,'E馬券購入'!C8='仮オッズ'!$A$4,$I$5,'E馬券購入'!C8='仮オッズ'!$A$5,$I$6,'E馬券購入'!C8='仮オッズ'!$A$6,$I$7,'E馬券購入'!C8='仮オッズ'!$A$7,$I$8)</f>
        <v>#N/A</v>
      </c>
      <c r="H18" s="18" t="str">
        <f>IFS('E馬券購入'!D8='仮オッズ'!$A$2,$I$3,'E馬券購入'!D8='仮オッズ'!$A$3,$I$4,'E馬券購入'!D8='仮オッズ'!$A$4,$I$5,'E馬券購入'!D8='仮オッズ'!$A$5,$I$6,'E馬券購入'!D8='仮オッズ'!$A$6,$I$7,'E馬券購入'!D8='仮オッズ'!$A$7,$I$8)</f>
        <v>#N/A</v>
      </c>
    </row>
    <row r="19">
      <c r="B19" s="1" t="s">
        <v>41</v>
      </c>
      <c r="C19" s="1" t="s">
        <v>42</v>
      </c>
      <c r="D19" s="1" t="s">
        <v>43</v>
      </c>
      <c r="F19" s="22" t="str">
        <f>IFS('E馬券購入'!B9='仮オッズ'!$A$2,$I$3,'E馬券購入'!B9='仮オッズ'!$A$3,$I$4,'E馬券購入'!B9='仮オッズ'!$A$4,$I$5,'E馬券購入'!B9='仮オッズ'!$A$5,$I$6,'E馬券購入'!B9='仮オッズ'!$A$6,$I$7,'E馬券購入'!B9='仮オッズ'!$A$7,$I$8)</f>
        <v>#N/A</v>
      </c>
      <c r="G19" s="23" t="str">
        <f>IFS('E馬券購入'!C9='仮オッズ'!$A$2,$I$3,'E馬券購入'!C9='仮オッズ'!$A$3,$I$4,'E馬券購入'!C9='仮オッズ'!$A$4,$I$5,'E馬券購入'!C9='仮オッズ'!$A$5,$I$6,'E馬券購入'!C9='仮オッズ'!$A$6,$I$7,'E馬券購入'!C9='仮オッズ'!$A$7,$I$8)</f>
        <v>#N/A</v>
      </c>
      <c r="H19" s="24" t="str">
        <f>IFS('E馬券購入'!D9='仮オッズ'!$A$2,$I$3,'E馬券購入'!D9='仮オッズ'!$A$3,$I$4,'E馬券購入'!D9='仮オッズ'!$A$4,$I$5,'E馬券購入'!D9='仮オッズ'!$A$5,$I$6,'E馬券購入'!D9='仮オッズ'!$A$6,$I$7,'E馬券購入'!D9='仮オッズ'!$A$7,$I$8)</f>
        <v>#N/A</v>
      </c>
    </row>
    <row r="20">
      <c r="A20" s="1" t="s">
        <v>30</v>
      </c>
      <c r="B20" s="6">
        <f>IFS('E馬券購入'!A3="単勝",$B$14,'E馬券購入'!A3="複勝",$B$15,'E馬券購入'!A3="三連単",$B$16,'E馬券購入'!A3="三連複",$B$17)</f>
        <v>29.47368421</v>
      </c>
      <c r="C20" s="6">
        <f t="shared" ref="C20:C24" si="2">IF(B20&lt;1.1,1.1,B20)</f>
        <v>29.47368421</v>
      </c>
      <c r="D20" s="6">
        <f t="shared" ref="D20:D24" si="3">IFERROR(C20,"未選択")</f>
        <v>29.47368421</v>
      </c>
    </row>
    <row r="21">
      <c r="A21" s="1" t="s">
        <v>44</v>
      </c>
      <c r="B21" s="6">
        <f>IFS('E馬券購入'!A4="単勝",$G$22,'E馬券購入'!A4="複勝",$G$23,'E馬券購入'!A4="三連単",$G$24,'E馬券購入'!A4="三連複",$G$25)</f>
        <v>13.67229225</v>
      </c>
      <c r="C21" s="6">
        <f t="shared" si="2"/>
        <v>13.67229225</v>
      </c>
      <c r="D21" s="6">
        <f t="shared" si="3"/>
        <v>13.67229225</v>
      </c>
      <c r="F21" s="14" t="s">
        <v>45</v>
      </c>
      <c r="G21" s="25" t="s">
        <v>12</v>
      </c>
      <c r="H21" s="26" t="s">
        <v>13</v>
      </c>
      <c r="I21" s="14" t="s">
        <v>46</v>
      </c>
      <c r="J21" s="15"/>
      <c r="K21" s="26" t="s">
        <v>13</v>
      </c>
      <c r="L21" s="14" t="s">
        <v>47</v>
      </c>
      <c r="M21" s="15"/>
      <c r="N21" s="16"/>
      <c r="O21" s="14" t="s">
        <v>48</v>
      </c>
      <c r="P21" s="15"/>
      <c r="Q21" s="16"/>
    </row>
    <row r="22">
      <c r="A22" s="1" t="s">
        <v>49</v>
      </c>
      <c r="B22" s="6">
        <f>IFS('E馬券購入'!A5="単勝",$J$22,'E馬券購入'!A5="複勝",$J$23,'E馬券購入'!A5="三連単",$J$24,'E馬券購入'!A5="三連複",$J$25)</f>
        <v>1000.334191</v>
      </c>
      <c r="C22" s="6">
        <f t="shared" si="2"/>
        <v>1000.334191</v>
      </c>
      <c r="D22" s="6">
        <f t="shared" si="3"/>
        <v>1000.334191</v>
      </c>
      <c r="F22" s="27" t="s">
        <v>3</v>
      </c>
      <c r="G22" s="8">
        <f>VLOOKUP('E馬券購入'!B$4,'⑤の計算式'!単勝,2,false)</f>
        <v>40</v>
      </c>
      <c r="H22" s="18" t="str">
        <f>IF('E馬券購入'!B4='仮オッズ'!$B$17,"的中","不的中")</f>
        <v>不的中</v>
      </c>
      <c r="I22" s="27" t="s">
        <v>3</v>
      </c>
      <c r="J22" s="8">
        <f>VLOOKUP('E馬券購入'!$B$5,'⑤の計算式'!単勝,2,false)</f>
        <v>13.33333333</v>
      </c>
      <c r="K22" s="18" t="str">
        <f>IF('E馬券購入'!B5='仮オッズ'!$B$17,"的中","不的中")</f>
        <v>不的中</v>
      </c>
      <c r="L22" s="27" t="s">
        <v>3</v>
      </c>
      <c r="M22" s="8">
        <f>VLOOKUP('E馬券購入'!$B$6,'⑤の計算式'!単勝,2,false)</f>
        <v>13.33333333</v>
      </c>
      <c r="N22" s="18" t="str">
        <f>IF('E馬券購入'!B6='仮オッズ'!$B$17,"的中","不的中")</f>
        <v>不的中</v>
      </c>
      <c r="O22" s="27" t="s">
        <v>3</v>
      </c>
      <c r="P22" s="8">
        <f>VLOOKUP('E馬券購入'!$B$7,'⑤の計算式'!単勝,2,false)</f>
        <v>13.33333333</v>
      </c>
      <c r="Q22" s="18" t="str">
        <f>IF('E馬券購入'!B7='仮オッズ'!$B$17,"的中","不的中")</f>
        <v>的中</v>
      </c>
    </row>
    <row r="23">
      <c r="A23" s="1" t="s">
        <v>47</v>
      </c>
      <c r="B23" s="6">
        <f>IFS('E馬券購入'!A6="単勝",$M$22,'E馬券購入'!A6="複勝",$M$23,'E馬券購入'!A6="三連単",$M$24,'E馬券購入'!A6="三連複",$M$25)</f>
        <v>13.33333333</v>
      </c>
      <c r="C23" s="6">
        <f t="shared" si="2"/>
        <v>13.33333333</v>
      </c>
      <c r="D23" s="6">
        <f t="shared" si="3"/>
        <v>13.33333333</v>
      </c>
      <c r="F23" s="27" t="s">
        <v>4</v>
      </c>
      <c r="G23" s="6">
        <f>VLOOKUP('E馬券購入'!$B$4,'⑤の計算式'!複勝,2,false)</f>
        <v>13.67229225</v>
      </c>
      <c r="H23" s="18" t="str">
        <f>IF(OR('E馬券購入'!B4='仮オッズ'!$B$17,'E馬券購入'!B4='仮オッズ'!$B$18,'E馬券購入'!B4='仮オッズ'!$B$19),"的中","不的中")</f>
        <v>不的中</v>
      </c>
      <c r="I23" s="27" t="s">
        <v>4</v>
      </c>
      <c r="J23" s="6">
        <f>VLOOKUP('E馬券購入'!$B$5,'⑤の計算式'!複勝,2,false)</f>
        <v>4.795085038</v>
      </c>
      <c r="K23" s="18" t="str">
        <f>IF(OR('E馬券購入'!B5='仮オッズ'!$B$17,'E馬券購入'!B5='仮オッズ'!$B$18,'E馬券購入'!B5='仮オッズ'!$B$19),"的中","不的中")</f>
        <v>的中</v>
      </c>
      <c r="L23" s="27" t="s">
        <v>4</v>
      </c>
      <c r="M23" s="6">
        <f>VLOOKUP('E馬券購入'!$B$6,'⑤の計算式'!複勝,2,false)</f>
        <v>4.795085038</v>
      </c>
      <c r="N23" s="18" t="str">
        <f>IF(OR('E馬券購入'!B6='仮オッズ'!$B$17,'E馬券購入'!B6='仮オッズ'!$B$18,'E馬券購入'!B6='仮オッズ'!$B$19),"的中","不的中")</f>
        <v>的中</v>
      </c>
      <c r="O23" s="27" t="s">
        <v>4</v>
      </c>
      <c r="P23" s="6">
        <f>VLOOKUP('E馬券購入'!$B$7,'⑤の計算式'!複勝,2,false)</f>
        <v>4.795085038</v>
      </c>
      <c r="Q23" s="18" t="str">
        <f>IF(OR('E馬券購入'!B7='仮オッズ'!$B$17,'E馬券購入'!B7='仮オッズ'!$B$18,'E馬券購入'!B7='仮オッズ'!$B$19),"的中","不的中")</f>
        <v>的中</v>
      </c>
    </row>
    <row r="24">
      <c r="A24" s="1" t="s">
        <v>48</v>
      </c>
      <c r="B24" s="6">
        <f>IFS('E馬券購入'!A7="単勝",$P$22,'E馬券購入'!A7="複勝",$P$23,'E馬券購入'!A7="三連単",$P$24,'E馬券購入'!A7="三連複",$P$25)</f>
        <v>13.33333333</v>
      </c>
      <c r="C24" s="6">
        <f t="shared" si="2"/>
        <v>13.33333333</v>
      </c>
      <c r="D24" s="6">
        <f t="shared" si="3"/>
        <v>13.33333333</v>
      </c>
      <c r="F24" s="27" t="s">
        <v>31</v>
      </c>
      <c r="G24" s="6" t="str">
        <f>1/((F14*(G14/(1-F14))*(H14/(1-F14-G14))))</f>
        <v>#N/A</v>
      </c>
      <c r="H24" s="18" t="str">
        <f>if(AND('E馬券購入'!B4='仮オッズ'!$B$17,'E馬券購入'!C4='仮オッズ'!$B$18,'E馬券購入'!D4='仮オッズ'!$B$19),"的中","不的中")</f>
        <v>不的中</v>
      </c>
      <c r="I24" s="27" t="s">
        <v>31</v>
      </c>
      <c r="J24" s="6">
        <f>1/((F15*(G15/(1-F15))*(H15/(1-F15-G15))))</f>
        <v>5591.111111</v>
      </c>
      <c r="K24" s="18" t="str">
        <f>if(AND('E馬券購入'!B5='仮オッズ'!$B$17,'E馬券購入'!C5='仮オッズ'!$B$18,'E馬券購入'!D5='仮オッズ'!$B$19),"的中","不的中")</f>
        <v>不的中</v>
      </c>
      <c r="L24" s="27" t="s">
        <v>31</v>
      </c>
      <c r="M24" s="6" t="str">
        <f>1/((F16*(G16/(1-F16))*(H16/(1-F16-G16))))</f>
        <v>#N/A</v>
      </c>
      <c r="N24" s="18" t="str">
        <f>if(AND('E馬券購入'!B6='仮オッズ'!$B$17,'E馬券購入'!C6='仮オッズ'!$B$18,'E馬券購入'!D6='仮オッズ'!$B$19),"的中","不的中")</f>
        <v>不的中</v>
      </c>
      <c r="O24" s="27" t="s">
        <v>31</v>
      </c>
      <c r="P24" s="6" t="str">
        <f>1/((F17*(G17/(1-F17))*(H17/(1-F17-G17))))</f>
        <v>#N/A</v>
      </c>
      <c r="Q24" s="18" t="str">
        <f>if(AND('E馬券購入'!B7='仮オッズ'!$B$17,'E馬券購入'!C7='仮オッズ'!$B$18,'E馬券購入'!D7='仮オッズ'!$B$19),"的中","不的中")</f>
        <v>不的中</v>
      </c>
    </row>
    <row r="25">
      <c r="F25" s="28" t="s">
        <v>37</v>
      </c>
      <c r="G25" s="23" t="str">
        <f>1/(F14*(G14/(1-F14))*(H14/(1-F14-G14))+F14*(H14/(1-F14))*(G14/(1-F14-H14))+G14*(F14/(1-G14))*(H14/(1-F14-G14))+G14*(H14/(1-G14))*(F14/(1-G14-H14))+H14*(F14/(1-H14))*(G14/(1-H14-F14))+H14*(G14/(1-H14))*(F14/(1-G14-F14)))</f>
        <v>#N/A</v>
      </c>
      <c r="H25" s="24" t="str">
        <f>IF(AND(OR('仮オッズ'!$B$17='E馬券購入'!B4,'仮オッズ'!$B$18='E馬券購入'!B4,'仮オッズ'!$B$19='E馬券購入'!B4),OR('仮オッズ'!$B$17='E馬券購入'!C4,'仮オッズ'!$B$18='E馬券購入'!C4,'仮オッズ'!$B$19='E馬券購入'!C4),OR('仮オッズ'!$B$17='E馬券購入'!D4,'仮オッズ'!$B$18='E馬券購入'!D4,'仮オッズ'!$B$19='E馬券購入'!D4)),"的中","不的中")</f>
        <v>不的中</v>
      </c>
      <c r="I25" s="28" t="s">
        <v>37</v>
      </c>
      <c r="J25" s="23">
        <f>1/(F15*(G15*(1-F15))*(H15/(1-F15-G15))+F15*(H15/(1-F15))*(G15/(1-F15-H15))+G15*(F15/(1-G15))*(H15/(1-F15-G15))+G15*(H15/(1-G15))*(F15/(1-G15-H15))+H15*(F15/(1-H15))*(G15/(1-H15-F15))+H15*(G15/(1-H15))*(F15/(1-G15-F15)))</f>
        <v>1000.334191</v>
      </c>
      <c r="K25" s="24" t="str">
        <f>IF(AND(OR('仮オッズ'!$B$17='E馬券購入'!B5,'仮オッズ'!$B$18='E馬券購入'!B5,'仮オッズ'!$B$19='E馬券購入'!B5),OR('仮オッズ'!$B$17='E馬券購入'!C5,'仮オッズ'!$B$18='E馬券購入'!C5,'仮オッズ'!$B$19='E馬券購入'!C5),OR('仮オッズ'!$B$17='E馬券購入'!D5,'仮オッズ'!$B$18='E馬券購入'!D5,'仮オッズ'!$B$19='E馬券購入'!D5)),"的中","不的中")</f>
        <v>不的中</v>
      </c>
      <c r="L25" s="28" t="s">
        <v>37</v>
      </c>
      <c r="M25" s="23" t="str">
        <f>1/(F16*(G16*(1-F16))*(H16/(1-F16-G16))+F16*(H16/(1-F16))*(G16/(1-F16-H16))+G16*(F16/(1-G16))*(H16/(1-F16-G16))+G16*(H16/(1-G16))*(F16/(1-G16-H16))+H16*(F16/(1-H16))*(G16/(1-H16-F16))+H16*(G16/(1-H16))*(F16/(1-G16-F16)))</f>
        <v>#N/A</v>
      </c>
      <c r="N25" s="24" t="str">
        <f>IF(AND(OR('仮オッズ'!$B$17='E馬券購入'!B6,'仮オッズ'!$B$18='E馬券購入'!B6,'仮オッズ'!$B$19='E馬券購入'!B6),OR('仮オッズ'!$B$17='E馬券購入'!C6,'仮オッズ'!$B$18='E馬券購入'!C6,'仮オッズ'!$B$19='E馬券購入'!C6),OR('仮オッズ'!$B$17='E馬券購入'!D6,'仮オッズ'!$B$18='E馬券購入'!D6,'仮オッズ'!$B$19='E馬券購入'!D6)),"的中","不的中")</f>
        <v>不的中</v>
      </c>
      <c r="O25" s="28" t="s">
        <v>37</v>
      </c>
      <c r="P25" s="23" t="str">
        <f>1/(F17*(G17*(1-F17))*(H17/(1-F17-G17))+F17*(H17/(1-F17))*(G17/(1-F17-H17))+G17*(F17/(1-G17))*(H17/(1-F17-G17))+G17*(H17/(1-G17))*(F17/(1-G17-H17))+H17*(F17/(1-H17))*(G17/(1-H17-F17))+H17*(G17/(1-H17))*(F17/(1-G17-F17)))</f>
        <v>#N/A</v>
      </c>
      <c r="Q25" s="24" t="str">
        <f>IF(AND(OR('仮オッズ'!$B$17='E馬券購入'!B7,'仮オッズ'!$B$18='E馬券購入'!B7,'仮オッズ'!$B$19='E馬券購入'!B7),OR('仮オッズ'!$B$17='E馬券購入'!C7,'仮オッズ'!$B$18='E馬券購入'!C7,'仮オッズ'!$B$19='E馬券購入'!C7),OR('仮オッズ'!$B$17='E馬券購入'!D7,'仮オッズ'!$B$18='E馬券購入'!D7,'仮オッズ'!$B$19='E馬券購入'!D7)),"的中","不的中")</f>
        <v>不的中</v>
      </c>
    </row>
    <row r="27">
      <c r="B27" s="1" t="s">
        <v>50</v>
      </c>
    </row>
    <row r="28">
      <c r="B28" s="1" t="s">
        <v>51</v>
      </c>
      <c r="C28" s="6" t="str">
        <f>IF('E馬券購入'!B3='仮オッズ'!$B$17,"的中","不的中")</f>
        <v>不的中</v>
      </c>
    </row>
    <row r="29">
      <c r="B29" s="1" t="s">
        <v>52</v>
      </c>
      <c r="C29" s="6" t="str">
        <f>if(AND('E馬券購入'!B3='仮オッズ'!$B$17,'E馬券購入'!C3='仮オッズ'!$B$18,'E馬券購入'!D3='仮オッズ'!$B$19),"的中","不的中")</f>
        <v>不的中</v>
      </c>
    </row>
    <row r="30">
      <c r="B30" s="1" t="s">
        <v>53</v>
      </c>
      <c r="C30" s="6" t="str">
        <f>IF(OR('E馬券購入'!B3='仮オッズ'!$B$17,'E馬券購入'!B3='仮オッズ'!$B$18,'E馬券購入'!B3='仮オッズ'!$B$19),"的中","不的中")</f>
        <v>不的中</v>
      </c>
    </row>
    <row r="31">
      <c r="B31" s="1" t="s">
        <v>54</v>
      </c>
      <c r="C31" s="6" t="str">
        <f>IF(AND(OR('仮オッズ'!$B$17='E馬券購入'!B3,'仮オッズ'!$B$18='E馬券購入'!B3,'仮オッズ'!$B$19='E馬券購入'!B3),OR('仮オッズ'!$B$17='E馬券購入'!C3,'仮オッズ'!$B$18='E馬券購入'!C3,'仮オッズ'!$B$19='E馬券購入'!C3),OR('仮オッズ'!$B$17='E馬券購入'!D3,'仮オッズ'!$B$18='E馬券購入'!D3,'仮オッズ'!$B$19='E馬券購入'!D3)),"的中","不的中")</f>
        <v>不的中</v>
      </c>
    </row>
    <row r="34">
      <c r="B34" s="1" t="s">
        <v>43</v>
      </c>
      <c r="C34" s="1" t="s">
        <v>55</v>
      </c>
      <c r="F34" s="1" t="s">
        <v>56</v>
      </c>
    </row>
    <row r="35">
      <c r="A35" s="1" t="s">
        <v>30</v>
      </c>
      <c r="B35" s="6" t="str">
        <f>IFS('E馬券購入'!A3="単勝",$C$28,'E馬券購入'!A3="三連単",$C$29,'E馬券購入'!A3="複勝",$C$30,'E馬券購入'!A3="三連複",$C$31,'E馬券購入'!A3="未選択","×")</f>
        <v>不的中</v>
      </c>
      <c r="C35" s="6">
        <f>IFS(B35="的中",'E馬券購入'!E3*'E馬券購入'!F3,B35="不的中",0,B35="×",0)</f>
        <v>0</v>
      </c>
      <c r="F35" s="29">
        <f>CEILING(SUM(C35:C39),5)</f>
        <v>5335</v>
      </c>
    </row>
    <row r="36">
      <c r="A36" s="1" t="s">
        <v>44</v>
      </c>
      <c r="B36" s="6" t="str">
        <f>IFS('E馬券購入'!A4="単勝",$H$22,'E馬券購入'!A4="三連単",$H$24,'E馬券購入'!A4="複勝",$H$23,'E馬券購入'!A4="三連複",$H$25,'E馬券購入'!A4="未選択","×")</f>
        <v>不的中</v>
      </c>
      <c r="C36" s="6">
        <f>IFS(B36="的中",'E馬券購入'!E4*'E馬券購入'!F4,B36="不的中",0,B36="×",0)</f>
        <v>0</v>
      </c>
    </row>
    <row r="37">
      <c r="A37" s="1" t="s">
        <v>49</v>
      </c>
      <c r="B37" s="6" t="str">
        <f>IFS('E馬券購入'!A5="単勝",$K$22,'E馬券購入'!A5="三連単",$K$24,'E馬券購入'!A5="複勝",$K$23,'E馬券購入'!A5="三連複",$K$25,'E馬券購入'!A5="未選択","×")</f>
        <v>不的中</v>
      </c>
      <c r="C37" s="6">
        <f>IFS(B37="的中",'E馬券購入'!E5*'E馬券購入'!F5,B37="不的中",0,B37="×",0)</f>
        <v>0</v>
      </c>
    </row>
    <row r="38">
      <c r="A38" s="1" t="s">
        <v>47</v>
      </c>
      <c r="B38" s="6" t="str">
        <f>IFS('E馬券購入'!A6="単勝",$N$22,'E馬券購入'!A6="三連単",$N$24,'E馬券購入'!A6="複勝",$N$23,'E馬券購入'!A6="三連複",$N$25,'E馬券購入'!A6="未選択","×")</f>
        <v>不的中</v>
      </c>
      <c r="C38" s="6">
        <f>IFS(B38="的中",'E馬券購入'!E6*'E馬券購入'!F6,B38="不的中",0,B38="×",0)</f>
        <v>0</v>
      </c>
    </row>
    <row r="39">
      <c r="A39" s="1" t="s">
        <v>48</v>
      </c>
      <c r="B39" s="6" t="str">
        <f>IFS('E馬券購入'!A7="単勝",$Q$22,'E馬券購入'!A7="三連単",$Q$24,'E馬券購入'!A7="複勝",$Q$23,'E馬券購入'!A7="三連複",$Q$25,'E馬券購入'!A7="未選択","×")</f>
        <v>的中</v>
      </c>
      <c r="C39" s="6">
        <f>IFS(B39="的中",'E馬券購入'!E7*'E馬券購入'!F7,B39="不的中",0,B39="×",0)</f>
        <v>5333.333333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4" width="19.75"/>
    <col customWidth="1" min="7" max="7" width="12.38"/>
  </cols>
  <sheetData>
    <row r="2" ht="30.75" customHeight="1">
      <c r="A2" s="2" t="s">
        <v>1</v>
      </c>
      <c r="B2" s="4" t="s">
        <v>10</v>
      </c>
      <c r="C2" s="5"/>
      <c r="D2" s="7"/>
      <c r="E2" s="2" t="s">
        <v>11</v>
      </c>
      <c r="F2" s="2" t="s">
        <v>12</v>
      </c>
      <c r="G2" s="2" t="s">
        <v>13</v>
      </c>
      <c r="H2" s="2" t="s">
        <v>14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30.75" customHeight="1">
      <c r="A3" s="11" t="s">
        <v>31</v>
      </c>
      <c r="B3" s="11" t="s">
        <v>9</v>
      </c>
      <c r="C3" s="11" t="s">
        <v>16</v>
      </c>
      <c r="D3" s="11" t="s">
        <v>18</v>
      </c>
      <c r="E3" s="11">
        <v>400.0</v>
      </c>
      <c r="F3" s="12">
        <f>'⑤の計算式'!D20</f>
        <v>29.47368421</v>
      </c>
      <c r="G3" s="13" t="str">
        <f>IF(COUNTIF('仮オッズ'!$A$17:$B$22,"未選択")&gt;0,"×",'⑤の計算式'!B35)</f>
        <v>不的中</v>
      </c>
      <c r="H3" s="13">
        <f>SUM(E3:E7)</f>
        <v>2000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30.75" customHeight="1">
      <c r="A4" s="11" t="s">
        <v>4</v>
      </c>
      <c r="B4" s="11" t="s">
        <v>19</v>
      </c>
      <c r="C4" s="11" t="s">
        <v>20</v>
      </c>
      <c r="D4" s="11" t="s">
        <v>20</v>
      </c>
      <c r="E4" s="11">
        <v>400.0</v>
      </c>
      <c r="F4" s="12">
        <f>'⑤の計算式'!D21</f>
        <v>13.67229225</v>
      </c>
      <c r="G4" s="13" t="str">
        <f>IF(COUNTIF('仮オッズ'!$A$17:$B$22,"未選択")&gt;0,"×",'⑤の計算式'!B36)</f>
        <v>不的中</v>
      </c>
      <c r="H4" s="19" t="s">
        <v>33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30.75" customHeight="1">
      <c r="A5" s="11" t="s">
        <v>37</v>
      </c>
      <c r="B5" s="11" t="s">
        <v>17</v>
      </c>
      <c r="C5" s="11" t="s">
        <v>18</v>
      </c>
      <c r="D5" s="11" t="s">
        <v>19</v>
      </c>
      <c r="E5" s="11">
        <v>400.0</v>
      </c>
      <c r="F5" s="12">
        <f>'⑤の計算式'!D22</f>
        <v>1000.334191</v>
      </c>
      <c r="G5" s="13" t="str">
        <f>IF(COUNTIF('仮オッズ'!$A$17:$B$22,"未選択")&gt;0,"×",'⑤の計算式'!B37)</f>
        <v>不的中</v>
      </c>
      <c r="H5" s="20">
        <f>IF(COUNTIF('仮オッズ'!$B$17:$B$22,"未選択")&gt;0,"×",'⑤の計算式'!F35)</f>
        <v>5335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30.75" customHeight="1">
      <c r="A6" s="11" t="s">
        <v>3</v>
      </c>
      <c r="B6" s="11" t="s">
        <v>17</v>
      </c>
      <c r="C6" s="11" t="s">
        <v>20</v>
      </c>
      <c r="D6" s="11" t="s">
        <v>20</v>
      </c>
      <c r="E6" s="11">
        <v>400.0</v>
      </c>
      <c r="F6" s="12">
        <f>'⑤の計算式'!D23</f>
        <v>13.33333333</v>
      </c>
      <c r="G6" s="13" t="str">
        <f>IF(COUNTIF('仮オッズ'!$A$17:$B$22,"未選択")&gt;0,"×",'⑤の計算式'!B38)</f>
        <v>不的中</v>
      </c>
      <c r="H6" s="19" t="s">
        <v>36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ht="30.75" customHeight="1">
      <c r="A7" s="11" t="s">
        <v>3</v>
      </c>
      <c r="B7" s="11" t="s">
        <v>18</v>
      </c>
      <c r="C7" s="11" t="s">
        <v>20</v>
      </c>
      <c r="D7" s="11" t="s">
        <v>20</v>
      </c>
      <c r="E7" s="11">
        <v>400.0</v>
      </c>
      <c r="F7" s="12">
        <f>'⑤の計算式'!D24</f>
        <v>13.33333333</v>
      </c>
      <c r="G7" s="13" t="str">
        <f>IF(COUNTIF('仮オッズ'!$A$17:$B$22,"未選択")&gt;0,"×",'⑤の計算式'!B39)</f>
        <v>的中</v>
      </c>
      <c r="H7" s="20">
        <f>IF(H5="×","×",H5-H3)</f>
        <v>3335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15">
      <c r="D15" s="21"/>
    </row>
  </sheetData>
  <mergeCells count="1">
    <mergeCell ref="B2:D2"/>
  </mergeCells>
  <dataValidations>
    <dataValidation type="list" allowBlank="1" showErrorMessage="1" sqref="A3:A7">
      <formula1>"未選択,単勝,複勝,三連単,三連複"</formula1>
    </dataValidation>
    <dataValidation type="list" allowBlank="1" showErrorMessage="1" sqref="B3:D7">
      <formula1>'仮オッズ'!$A$2:$A$11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" t="s">
        <v>0</v>
      </c>
    </row>
    <row r="2">
      <c r="B2" s="1" t="s">
        <v>3</v>
      </c>
      <c r="E2" s="1" t="s">
        <v>4</v>
      </c>
      <c r="H2" s="1" t="s">
        <v>6</v>
      </c>
      <c r="I2" s="1" t="s">
        <v>8</v>
      </c>
    </row>
    <row r="3">
      <c r="B3" s="6" t="str">
        <f>'仮オッズ'!A2</f>
        <v>ゆーや</v>
      </c>
      <c r="C3" s="8">
        <f>'仮オッズ'!D2</f>
        <v>2.105263158</v>
      </c>
      <c r="E3" s="6" t="str">
        <f>'仮オッズ'!A2</f>
        <v>ゆーや</v>
      </c>
      <c r="F3" s="6">
        <f>1/(1-(1-(1/'仮オッズ'!D2))^3)</f>
        <v>1.169184676</v>
      </c>
      <c r="H3" s="6" t="str">
        <f>'仮オッズ'!A2</f>
        <v>ゆーや</v>
      </c>
      <c r="I3" s="6">
        <f t="shared" ref="I3:I8" si="1">1/C3</f>
        <v>0.475</v>
      </c>
    </row>
    <row r="4">
      <c r="B4" s="6" t="str">
        <f>'仮オッズ'!A3</f>
        <v>たいよう</v>
      </c>
      <c r="C4" s="8">
        <f>'仮オッズ'!D3</f>
        <v>2.352941176</v>
      </c>
      <c r="E4" s="6" t="str">
        <f>'仮オッズ'!A3</f>
        <v>たいよう</v>
      </c>
      <c r="F4" s="6">
        <f>1/(1-(1-(1/'仮オッズ'!D3))^3)</f>
        <v>1.234734629</v>
      </c>
      <c r="H4" s="6" t="str">
        <f>'仮オッズ'!A3</f>
        <v>たいよう</v>
      </c>
      <c r="I4" s="6">
        <f t="shared" si="1"/>
        <v>0.425</v>
      </c>
    </row>
    <row r="5">
      <c r="B5" s="6" t="str">
        <f>'仮オッズ'!A4</f>
        <v>はせりょー</v>
      </c>
      <c r="C5" s="8">
        <f>'仮オッズ'!D4</f>
        <v>5.714285714</v>
      </c>
      <c r="E5" s="6" t="str">
        <f>'仮オッズ'!A4</f>
        <v>はせりょー</v>
      </c>
      <c r="F5" s="6">
        <f>1/(1-(1-(1/'仮オッズ'!D4))^3)</f>
        <v>2.280582974</v>
      </c>
      <c r="H5" s="6" t="str">
        <f>'仮オッズ'!A4</f>
        <v>はせりょー</v>
      </c>
      <c r="I5" s="6">
        <f t="shared" si="1"/>
        <v>0.175</v>
      </c>
    </row>
    <row r="6">
      <c r="B6" s="6" t="str">
        <f>'仮オッズ'!A5</f>
        <v>みわ</v>
      </c>
      <c r="C6" s="8">
        <f>'仮オッズ'!D5</f>
        <v>13.33333333</v>
      </c>
      <c r="E6" s="6" t="str">
        <f>'仮オッズ'!A5</f>
        <v>みわ</v>
      </c>
      <c r="F6" s="6">
        <f>1/(1-(1-(1/'仮オッズ'!D5))^3)</f>
        <v>4.795085038</v>
      </c>
      <c r="H6" s="6" t="str">
        <f>'仮オッズ'!A5</f>
        <v>みわ</v>
      </c>
      <c r="I6" s="6">
        <f t="shared" si="1"/>
        <v>0.075</v>
      </c>
    </row>
    <row r="7">
      <c r="B7" s="6" t="str">
        <f>'仮オッズ'!A6</f>
        <v>こーた</v>
      </c>
      <c r="C7" s="8">
        <f>'仮オッズ'!D6</f>
        <v>13.33333333</v>
      </c>
      <c r="E7" s="6" t="str">
        <f>'仮オッズ'!A6</f>
        <v>こーた</v>
      </c>
      <c r="F7" s="6">
        <f>1/(1-(1-(1/'仮オッズ'!D6))^3)</f>
        <v>4.795085038</v>
      </c>
      <c r="H7" s="6" t="str">
        <f>'仮オッズ'!A6</f>
        <v>こーた</v>
      </c>
      <c r="I7" s="6">
        <f t="shared" si="1"/>
        <v>0.075</v>
      </c>
    </row>
    <row r="8">
      <c r="B8" s="6" t="str">
        <f>'仮オッズ'!A7</f>
        <v>いずみ</v>
      </c>
      <c r="C8" s="8">
        <f>'仮オッズ'!D7</f>
        <v>40</v>
      </c>
      <c r="E8" s="6" t="str">
        <f>'仮オッズ'!A7</f>
        <v>いずみ</v>
      </c>
      <c r="F8" s="6">
        <f>1/(1-(1-(1/'仮オッズ'!D7))^3)</f>
        <v>13.67229225</v>
      </c>
      <c r="H8" s="6" t="str">
        <f>'仮オッズ'!A7</f>
        <v>いずみ</v>
      </c>
      <c r="I8" s="6">
        <f t="shared" si="1"/>
        <v>0.025</v>
      </c>
    </row>
    <row r="9">
      <c r="B9" s="6" t="str">
        <f>'仮オッズ'!A8</f>
        <v>未選択</v>
      </c>
      <c r="C9" s="6" t="str">
        <f>'仮オッズ'!D8</f>
        <v/>
      </c>
      <c r="E9" s="6" t="str">
        <f>'仮オッズ'!A8</f>
        <v>未選択</v>
      </c>
      <c r="H9" s="6" t="str">
        <f>'仮オッズ'!A8</f>
        <v>未選択</v>
      </c>
    </row>
    <row r="10">
      <c r="B10" s="6" t="str">
        <f>'仮オッズ'!A9</f>
        <v/>
      </c>
      <c r="C10" s="6" t="str">
        <f>'仮オッズ'!D9:D18</f>
        <v/>
      </c>
      <c r="E10" s="6" t="str">
        <f>'仮オッズ'!A9</f>
        <v/>
      </c>
      <c r="H10" s="6" t="str">
        <f>'仮オッズ'!A9</f>
        <v/>
      </c>
    </row>
    <row r="11">
      <c r="B11" s="6" t="str">
        <f>'仮オッズ'!A10</f>
        <v/>
      </c>
      <c r="E11" s="6" t="str">
        <f>'仮オッズ'!A10</f>
        <v/>
      </c>
      <c r="H11" s="6" t="str">
        <f>'仮オッズ'!A10</f>
        <v/>
      </c>
    </row>
    <row r="12">
      <c r="B12" s="1" t="s">
        <v>30</v>
      </c>
      <c r="F12" s="14" t="s">
        <v>6</v>
      </c>
      <c r="G12" s="15"/>
      <c r="H12" s="16"/>
    </row>
    <row r="13">
      <c r="F13" s="17">
        <f>IFS('F馬券購入'!B3='仮オッズ'!$A$2,$I$3,'F馬券購入'!B3='仮オッズ'!$A$3,$I$4,'F馬券購入'!B3='仮オッズ'!$A$4,$I$5,'F馬券購入'!B3='仮オッズ'!$A$5,$I$6,'F馬券購入'!B3='仮オッズ'!$A$6,$I$7,'F馬券購入'!B3='仮オッズ'!$A$7,$I$8)</f>
        <v>0.175</v>
      </c>
      <c r="G13" s="6" t="str">
        <f>IFS('F馬券購入'!C3='仮オッズ'!$A$2,$I$3,'F馬券購入'!C3='仮オッズ'!$A$3,$I$4,'F馬券購入'!C3='仮オッズ'!$A$4,$I$5,'F馬券購入'!C3='仮オッズ'!$A$5,$I$6,'F馬券購入'!C3='仮オッズ'!$A$6,$I$7,'F馬券購入'!C3='仮オッズ'!$A$7,$I$8)</f>
        <v>#N/A</v>
      </c>
      <c r="H13" s="18" t="str">
        <f>IFS('F馬券購入'!D3='仮オッズ'!$A$2,$I$3,'F馬券購入'!D3='仮オッズ'!$A$3,$I$4,'F馬券購入'!D3='仮オッズ'!$A$4,$I$5,'F馬券購入'!D3='仮オッズ'!$A$5,$I$6,'F馬券購入'!D3='仮オッズ'!$A$6,$I$7,'F馬券購入'!D3='仮オッズ'!$A$7,$I$8)</f>
        <v>#N/A</v>
      </c>
    </row>
    <row r="14">
      <c r="A14" s="1" t="s">
        <v>3</v>
      </c>
      <c r="B14" s="8">
        <f>VLOOKUP('F馬券購入'!B$3,'⑥の計算式'!単勝,2,false)</f>
        <v>5.714285714</v>
      </c>
      <c r="F14" s="17">
        <f>IFS('F馬券購入'!B4='仮オッズ'!$A$2,$I$3,'F馬券購入'!B4='仮オッズ'!$A$3,$I$4,'F馬券購入'!B4='仮オッズ'!$A$4,$I$5,'F馬券購入'!B4='仮オッズ'!$A$5,$I$6,'F馬券購入'!B4='仮オッズ'!$A$6,$I$7,'F馬券購入'!B4='仮オッズ'!$A$7,$I$8)</f>
        <v>0.025</v>
      </c>
      <c r="G14" s="6" t="str">
        <f>IFS('F馬券購入'!C4='仮オッズ'!$A$2,$I$3,'F馬券購入'!C4='仮オッズ'!$A$3,$I$4,'F馬券購入'!C4='仮オッズ'!$A$4,$I$5,'F馬券購入'!C4='仮オッズ'!$A$5,$I$6,'F馬券購入'!C4='仮オッズ'!$A$6,$I$7,'F馬券購入'!C4='仮オッズ'!$A$7,$I$8)</f>
        <v>#N/A</v>
      </c>
      <c r="H14" s="18" t="str">
        <f>IFS('F馬券購入'!D4='仮オッズ'!$A$2,$I$3,'F馬券購入'!D4='仮オッズ'!$A$3,$I$4,'F馬券購入'!D4='仮オッズ'!$A$4,$I$5,'F馬券購入'!D4='仮オッズ'!$A$5,$I$6,'F馬券購入'!D4='仮オッズ'!$A$6,$I$7,'F馬券購入'!D4='仮オッズ'!$A$7,$I$8)</f>
        <v>#N/A</v>
      </c>
    </row>
    <row r="15">
      <c r="A15" s="1" t="s">
        <v>4</v>
      </c>
      <c r="B15" s="6">
        <f>VLOOKUP('F馬券購入'!B3,'⑥の計算式'!複勝,2,false)</f>
        <v>2.280582974</v>
      </c>
      <c r="F15" s="17">
        <f>IFS('F馬券購入'!B5='仮オッズ'!$A$2,$I$3,'F馬券購入'!B5='仮オッズ'!$A$3,$I$4,'F馬券購入'!B5='仮オッズ'!$A$4,$I$5,'F馬券購入'!B5='仮オッズ'!$A$5,$I$6,'F馬券購入'!B5='仮オッズ'!$A$6,$I$7,'F馬券購入'!B5='仮オッズ'!$A$7,$I$8)</f>
        <v>0.075</v>
      </c>
      <c r="G15" s="6" t="str">
        <f>IFS('F馬券購入'!C5='仮オッズ'!$A$2,$I$3,'F馬券購入'!C5='仮オッズ'!$A$3,$I$4,'F馬券購入'!C5='仮オッズ'!$A$4,$I$5,'F馬券購入'!C5='仮オッズ'!$A$5,$I$6,'F馬券購入'!C5='仮オッズ'!$A$6,$I$7,'F馬券購入'!C5='仮オッズ'!$A$7,$I$8)</f>
        <v>#N/A</v>
      </c>
      <c r="H15" s="18" t="str">
        <f>IFS('F馬券購入'!D5='仮オッズ'!$A$2,$I$3,'F馬券購入'!D5='仮オッズ'!$A$3,$I$4,'F馬券購入'!D5='仮オッズ'!$A$4,$I$5,'F馬券購入'!D5='仮オッズ'!$A$5,$I$6,'F馬券購入'!D5='仮オッズ'!$A$6,$I$7,'F馬券購入'!D5='仮オッズ'!$A$7,$I$8)</f>
        <v>#N/A</v>
      </c>
    </row>
    <row r="16">
      <c r="A16" s="1" t="s">
        <v>31</v>
      </c>
      <c r="B16" s="1" t="str">
        <f>1/((F13*(G13/(1-F13))*(H13/(1-F13-G13))))</f>
        <v>#N/A</v>
      </c>
      <c r="F16" s="17">
        <f>IFS('F馬券購入'!B6='仮オッズ'!$A$2,$I$3,'F馬券購入'!B6='仮オッズ'!$A$3,$I$4,'F馬券購入'!B6='仮オッズ'!$A$4,$I$5,'F馬券購入'!B6='仮オッズ'!$A$5,$I$6,'F馬券購入'!B6='仮オッズ'!$A$6,$I$7,'F馬券購入'!B6='仮オッズ'!$A$7,$I$8)</f>
        <v>0.475</v>
      </c>
      <c r="G16" s="6" t="str">
        <f>IFS('F馬券購入'!C6='仮オッズ'!$A$2,$I$3,'F馬券購入'!C6='仮オッズ'!$A$3,$I$4,'F馬券購入'!C6='仮オッズ'!$A$4,$I$5,'F馬券購入'!C6='仮オッズ'!$A$5,$I$6,'F馬券購入'!C6='仮オッズ'!$A$6,$I$7,'F馬券購入'!C6='仮オッズ'!$A$7,$I$8)</f>
        <v>#N/A</v>
      </c>
      <c r="H16" s="18" t="str">
        <f>IFS('F馬券購入'!D6='仮オッズ'!$A$2,$I$3,'F馬券購入'!D6='仮オッズ'!$A$3,$I$4,'F馬券購入'!D6='仮オッズ'!$A$4,$I$5,'F馬券購入'!D6='仮オッズ'!$A$5,$I$6,'F馬券購入'!D6='仮オッズ'!$A$6,$I$7,'F馬券購入'!D6='仮オッズ'!$A$7,$I$8)</f>
        <v>#N/A</v>
      </c>
    </row>
    <row r="17">
      <c r="A17" s="1" t="s">
        <v>37</v>
      </c>
      <c r="B17" s="6" t="str">
        <f>1/(F13*(G13/(1-F13))*(H13/(1-F13-G13))+F13*(H13/(1-F13))*(G13/(1-F13-H13))+G13*(F13/(1-G13))*(H13/(1-F13-G13))+G13*(H13/(1-G13))*(F13/(1-G13-H13))+H13*(F13/(1-H13))*(G13/(1-H13-F13))+H13*(G13/(1-H13))*(F13/(1-G13-F13)))</f>
        <v>#N/A</v>
      </c>
      <c r="F17" s="17" t="str">
        <f>IFS('F馬券購入'!B7='仮オッズ'!$A$2,$I$3,'F馬券購入'!B7='仮オッズ'!$A$3,$I$4,'F馬券購入'!B7='仮オッズ'!$A$4,$I$5,'F馬券購入'!B7='仮オッズ'!$A$5,$I$6,'F馬券購入'!B7='仮オッズ'!$A$6,$I$7,'F馬券購入'!B7='仮オッズ'!$A$7,$I$8)</f>
        <v>#N/A</v>
      </c>
      <c r="G17" s="6" t="str">
        <f>IFS('F馬券購入'!C7='仮オッズ'!$A$2,$I$3,'F馬券購入'!C7='仮オッズ'!$A$3,$I$4,'F馬券購入'!C7='仮オッズ'!$A$4,$I$5,'F馬券購入'!C7='仮オッズ'!$A$5,$I$6,'F馬券購入'!C7='仮オッズ'!$A$6,$I$7,'F馬券購入'!C7='仮オッズ'!$A$7,$I$8)</f>
        <v>#N/A</v>
      </c>
      <c r="H17" s="18" t="str">
        <f>IFS('F馬券購入'!D7='仮オッズ'!$A$2,$I$3,'F馬券購入'!D7='仮オッズ'!$A$3,$I$4,'F馬券購入'!D7='仮オッズ'!$A$4,$I$5,'F馬券購入'!D7='仮オッズ'!$A$5,$I$6,'F馬券購入'!D7='仮オッズ'!$A$6,$I$7,'F馬券購入'!D7='仮オッズ'!$A$7,$I$8)</f>
        <v>#N/A</v>
      </c>
    </row>
    <row r="18">
      <c r="F18" s="17" t="str">
        <f>IFS('F馬券購入'!B8='仮オッズ'!$A$2,$I$3,'F馬券購入'!B8='仮オッズ'!$A$3,$I$4,'F馬券購入'!B8='仮オッズ'!$A$4,$I$5,'F馬券購入'!B8='仮オッズ'!$A$5,$I$6,'F馬券購入'!B8='仮オッズ'!$A$6,$I$7,'F馬券購入'!B8='仮オッズ'!$A$7,$I$8)</f>
        <v>#N/A</v>
      </c>
      <c r="G18" s="6" t="str">
        <f>IFS('F馬券購入'!C8='仮オッズ'!$A$2,$I$3,'F馬券購入'!C8='仮オッズ'!$A$3,$I$4,'F馬券購入'!C8='仮オッズ'!$A$4,$I$5,'F馬券購入'!C8='仮オッズ'!$A$5,$I$6,'F馬券購入'!C8='仮オッズ'!$A$6,$I$7,'F馬券購入'!C8='仮オッズ'!$A$7,$I$8)</f>
        <v>#N/A</v>
      </c>
      <c r="H18" s="18" t="str">
        <f>IFS('F馬券購入'!D8='仮オッズ'!$A$2,$I$3,'F馬券購入'!D8='仮オッズ'!$A$3,$I$4,'F馬券購入'!D8='仮オッズ'!$A$4,$I$5,'F馬券購入'!D8='仮オッズ'!$A$5,$I$6,'F馬券購入'!D8='仮オッズ'!$A$6,$I$7,'F馬券購入'!D8='仮オッズ'!$A$7,$I$8)</f>
        <v>#N/A</v>
      </c>
    </row>
    <row r="19">
      <c r="B19" s="1" t="s">
        <v>41</v>
      </c>
      <c r="C19" s="1" t="s">
        <v>42</v>
      </c>
      <c r="D19" s="1" t="s">
        <v>43</v>
      </c>
      <c r="F19" s="22" t="str">
        <f>IFS('F馬券購入'!B9='仮オッズ'!$A$2,$I$3,'F馬券購入'!B9='仮オッズ'!$A$3,$I$4,'F馬券購入'!B9='仮オッズ'!$A$4,$I$5,'F馬券購入'!B9='仮オッズ'!$A$5,$I$6,'F馬券購入'!B9='仮オッズ'!$A$6,$I$7,'F馬券購入'!B9='仮オッズ'!$A$7,$I$8)</f>
        <v>#N/A</v>
      </c>
      <c r="G19" s="23" t="str">
        <f>IFS('F馬券購入'!C9='仮オッズ'!$A$2,$I$3,'F馬券購入'!C9='仮オッズ'!$A$3,$I$4,'F馬券購入'!C9='仮オッズ'!$A$4,$I$5,'F馬券購入'!C9='仮オッズ'!$A$5,$I$6,'F馬券購入'!C9='仮オッズ'!$A$6,$I$7,'F馬券購入'!C9='仮オッズ'!$A$7,$I$8)</f>
        <v>#N/A</v>
      </c>
      <c r="H19" s="24" t="str">
        <f>IFS('F馬券購入'!D9='仮オッズ'!$A$2,$I$3,'F馬券購入'!D9='仮オッズ'!$A$3,$I$4,'F馬券購入'!D9='仮オッズ'!$A$4,$I$5,'F馬券購入'!D9='仮オッズ'!$A$5,$I$6,'F馬券購入'!D9='仮オッズ'!$A$6,$I$7,'F馬券購入'!D9='仮オッズ'!$A$7,$I$8)</f>
        <v>#N/A</v>
      </c>
    </row>
    <row r="20">
      <c r="A20" s="1" t="s">
        <v>30</v>
      </c>
      <c r="B20" s="6">
        <f>IFS('F馬券購入'!A3="単勝",$B$14,'F馬券購入'!A3="複勝",$B$15,'F馬券購入'!A3="三連単",$B$16,'F馬券購入'!A3="三連複",$B$17)</f>
        <v>5.714285714</v>
      </c>
      <c r="C20" s="6">
        <f t="shared" ref="C20:C24" si="2">IF(B20&lt;1.1,1.1,B20)</f>
        <v>5.714285714</v>
      </c>
      <c r="D20" s="6">
        <f t="shared" ref="D20:D24" si="3">IFERROR(C20,"未選択")</f>
        <v>5.714285714</v>
      </c>
    </row>
    <row r="21">
      <c r="A21" s="1" t="s">
        <v>44</v>
      </c>
      <c r="B21" s="6">
        <f>IFS('F馬券購入'!A4="単勝",$G$22,'F馬券購入'!A4="複勝",$G$23,'F馬券購入'!A4="三連単",$G$24,'F馬券購入'!A4="三連複",$G$25)</f>
        <v>13.67229225</v>
      </c>
      <c r="C21" s="6">
        <f t="shared" si="2"/>
        <v>13.67229225</v>
      </c>
      <c r="D21" s="6">
        <f t="shared" si="3"/>
        <v>13.67229225</v>
      </c>
      <c r="F21" s="14" t="s">
        <v>45</v>
      </c>
      <c r="G21" s="25" t="s">
        <v>12</v>
      </c>
      <c r="H21" s="26" t="s">
        <v>13</v>
      </c>
      <c r="I21" s="14" t="s">
        <v>46</v>
      </c>
      <c r="J21" s="15"/>
      <c r="K21" s="26" t="s">
        <v>13</v>
      </c>
      <c r="L21" s="14" t="s">
        <v>47</v>
      </c>
      <c r="M21" s="15"/>
      <c r="N21" s="16"/>
      <c r="O21" s="14" t="s">
        <v>48</v>
      </c>
      <c r="P21" s="15"/>
      <c r="Q21" s="16"/>
    </row>
    <row r="22">
      <c r="A22" s="1" t="s">
        <v>49</v>
      </c>
      <c r="B22" s="6">
        <f>IFS('F馬券購入'!A5="単勝",$J$22,'F馬券購入'!A5="複勝",$J$23,'F馬券購入'!A5="三連単",$J$24,'F馬券購入'!A5="三連複",$J$25)</f>
        <v>4.795085038</v>
      </c>
      <c r="C22" s="6">
        <f t="shared" si="2"/>
        <v>4.795085038</v>
      </c>
      <c r="D22" s="6">
        <f t="shared" si="3"/>
        <v>4.795085038</v>
      </c>
      <c r="F22" s="27" t="s">
        <v>3</v>
      </c>
      <c r="G22" s="8">
        <f>VLOOKUP('F馬券購入'!B$4,'⑥の計算式'!単勝,2,false)</f>
        <v>40</v>
      </c>
      <c r="H22" s="18" t="str">
        <f>IF('F馬券購入'!B4='仮オッズ'!$B$17,"的中","不的中")</f>
        <v>不的中</v>
      </c>
      <c r="I22" s="27" t="s">
        <v>3</v>
      </c>
      <c r="J22" s="8">
        <f>VLOOKUP('F馬券購入'!$B$5,'⑥の計算式'!単勝,2,false)</f>
        <v>13.33333333</v>
      </c>
      <c r="K22" s="18" t="str">
        <f>IF('F馬券購入'!B5='仮オッズ'!$B$17,"的中","不的中")</f>
        <v>的中</v>
      </c>
      <c r="L22" s="27" t="s">
        <v>3</v>
      </c>
      <c r="M22" s="8">
        <f>VLOOKUP('F馬券購入'!$B$6,'⑥の計算式'!単勝,2,false)</f>
        <v>2.105263158</v>
      </c>
      <c r="N22" s="18" t="str">
        <f>IF('F馬券購入'!B6='仮オッズ'!$B$17,"的中","不的中")</f>
        <v>不的中</v>
      </c>
      <c r="O22" s="27" t="s">
        <v>3</v>
      </c>
      <c r="P22" s="6" t="str">
        <f>VLOOKUP('F馬券購入'!$B$7,'⑥の計算式'!単勝,2,false)</f>
        <v>#N/A</v>
      </c>
      <c r="Q22" s="18" t="str">
        <f>IF('F馬券購入'!B7='仮オッズ'!$B$17,"的中","不的中")</f>
        <v>不的中</v>
      </c>
    </row>
    <row r="23">
      <c r="A23" s="1" t="s">
        <v>47</v>
      </c>
      <c r="B23" s="6">
        <f>IFS('F馬券購入'!A6="単勝",$M$22,'F馬券購入'!A6="複勝",$M$23,'F馬券購入'!A6="三連単",$M$24,'F馬券購入'!A6="三連複",$M$25)</f>
        <v>1.169184676</v>
      </c>
      <c r="C23" s="6">
        <f t="shared" si="2"/>
        <v>1.169184676</v>
      </c>
      <c r="D23" s="6">
        <f t="shared" si="3"/>
        <v>1.169184676</v>
      </c>
      <c r="F23" s="27" t="s">
        <v>4</v>
      </c>
      <c r="G23" s="6">
        <f>VLOOKUP('F馬券購入'!$B$4,'⑥の計算式'!複勝,2,false)</f>
        <v>13.67229225</v>
      </c>
      <c r="H23" s="18" t="str">
        <f>IF(OR('F馬券購入'!B4='仮オッズ'!$B$17,'F馬券購入'!B4='仮オッズ'!$B$18,'F馬券購入'!B4='仮オッズ'!$B$19),"的中","不的中")</f>
        <v>不的中</v>
      </c>
      <c r="I23" s="27" t="s">
        <v>4</v>
      </c>
      <c r="J23" s="6">
        <f>VLOOKUP('F馬券購入'!$B$5,'⑥の計算式'!複勝,2,false)</f>
        <v>4.795085038</v>
      </c>
      <c r="K23" s="18" t="str">
        <f>IF(OR('F馬券購入'!B5='仮オッズ'!$B$17,'F馬券購入'!B5='仮オッズ'!$B$18,'F馬券購入'!B5='仮オッズ'!$B$19),"的中","不的中")</f>
        <v>的中</v>
      </c>
      <c r="L23" s="27" t="s">
        <v>4</v>
      </c>
      <c r="M23" s="6">
        <f>VLOOKUP('F馬券購入'!$B$6,'⑥の計算式'!複勝,2,false)</f>
        <v>1.169184676</v>
      </c>
      <c r="N23" s="18" t="str">
        <f>IF(OR('F馬券購入'!B6='仮オッズ'!$B$17,'F馬券購入'!B6='仮オッズ'!$B$18,'F馬券購入'!B6='仮オッズ'!$B$19),"的中","不的中")</f>
        <v>不的中</v>
      </c>
      <c r="O23" s="27" t="s">
        <v>4</v>
      </c>
      <c r="P23" s="6" t="str">
        <f>VLOOKUP('F馬券購入'!$B$7,'⑥の計算式'!複勝,2,false)</f>
        <v>#N/A</v>
      </c>
      <c r="Q23" s="18" t="str">
        <f>IF(OR('F馬券購入'!B7='仮オッズ'!$B$17,'F馬券購入'!B7='仮オッズ'!$B$18,'F馬券購入'!B7='仮オッズ'!$B$19),"的中","不的中")</f>
        <v>不的中</v>
      </c>
    </row>
    <row r="24">
      <c r="A24" s="1" t="s">
        <v>48</v>
      </c>
      <c r="B24" s="6" t="str">
        <f>IFS('F馬券購入'!A7="単勝",$P$22,'F馬券購入'!A7="複勝",$P$23,'F馬券購入'!A7="三連単",$P$24,'F馬券購入'!A7="三連複",$P$25)</f>
        <v>#N/A</v>
      </c>
      <c r="C24" s="6" t="str">
        <f t="shared" si="2"/>
        <v>#N/A</v>
      </c>
      <c r="D24" s="6" t="str">
        <f t="shared" si="3"/>
        <v>未選択</v>
      </c>
      <c r="F24" s="27" t="s">
        <v>31</v>
      </c>
      <c r="G24" s="6" t="str">
        <f>1/((F14*(G14/(1-F14))*(H14/(1-F14-G14))))</f>
        <v>#N/A</v>
      </c>
      <c r="H24" s="18" t="str">
        <f>if(AND('F馬券購入'!B4='仮オッズ'!$B$17,'F馬券購入'!C4='仮オッズ'!$B$18,'F馬券購入'!D4='仮オッズ'!$B$19),"的中","不的中")</f>
        <v>不的中</v>
      </c>
      <c r="I24" s="27" t="s">
        <v>31</v>
      </c>
      <c r="J24" s="6" t="str">
        <f>1/((F15*(G15/(1-F15))*(H15/(1-F15-G15))))</f>
        <v>#N/A</v>
      </c>
      <c r="K24" s="18" t="str">
        <f>if(AND('F馬券購入'!B5='仮オッズ'!$B$17,'F馬券購入'!C5='仮オッズ'!$B$18,'F馬券購入'!D5='仮オッズ'!$B$19),"的中","不的中")</f>
        <v>不的中</v>
      </c>
      <c r="L24" s="27" t="s">
        <v>31</v>
      </c>
      <c r="M24" s="6" t="str">
        <f>1/((F16*(G16/(1-F16))*(H16/(1-F16-G16))))</f>
        <v>#N/A</v>
      </c>
      <c r="N24" s="18" t="str">
        <f>if(AND('F馬券購入'!B6='仮オッズ'!$B$17,'F馬券購入'!C6='仮オッズ'!$B$18,'F馬券購入'!D6='仮オッズ'!$B$19),"的中","不的中")</f>
        <v>不的中</v>
      </c>
      <c r="O24" s="27" t="s">
        <v>31</v>
      </c>
      <c r="P24" s="6" t="str">
        <f>1/((F17*(G17/(1-F17))*(H17/(1-F17-G17))))</f>
        <v>#N/A</v>
      </c>
      <c r="Q24" s="18" t="str">
        <f>if(AND('F馬券購入'!B7='仮オッズ'!$B$17,'F馬券購入'!C7='仮オッズ'!$B$18,'F馬券購入'!D7='仮オッズ'!$B$19),"的中","不的中")</f>
        <v>不的中</v>
      </c>
    </row>
    <row r="25">
      <c r="F25" s="28" t="s">
        <v>37</v>
      </c>
      <c r="G25" s="23" t="str">
        <f>1/(F14*(G14/(1-F14))*(H14/(1-F14-G14))+F14*(H14/(1-F14))*(G14/(1-F14-H14))+G14*(F14/(1-G14))*(H14/(1-F14-G14))+G14*(H14/(1-G14))*(F14/(1-G14-H14))+H14*(F14/(1-H14))*(G14/(1-H14-F14))+H14*(G14/(1-H14))*(F14/(1-G14-F14)))</f>
        <v>#N/A</v>
      </c>
      <c r="H25" s="24" t="str">
        <f>IF(AND(OR('仮オッズ'!$B$17='F馬券購入'!B4,'仮オッズ'!$B$18='F馬券購入'!B4,'仮オッズ'!$B$19='F馬券購入'!B4),OR('仮オッズ'!$B$17='F馬券購入'!C4,'仮オッズ'!$B$18='F馬券購入'!C4,'仮オッズ'!$B$19='F馬券購入'!C4),OR('仮オッズ'!$B$17='F馬券購入'!D4,'仮オッズ'!$B$18='F馬券購入'!D4,'仮オッズ'!$B$19='F馬券購入'!D4)),"的中","不的中")</f>
        <v>不的中</v>
      </c>
      <c r="I25" s="28" t="s">
        <v>37</v>
      </c>
      <c r="J25" s="23" t="str">
        <f>1/(F15*(G15*(1-F15))*(H15/(1-F15-G15))+F15*(H15/(1-F15))*(G15/(1-F15-H15))+G15*(F15/(1-G15))*(H15/(1-F15-G15))+G15*(H15/(1-G15))*(F15/(1-G15-H15))+H15*(F15/(1-H15))*(G15/(1-H15-F15))+H15*(G15/(1-H15))*(F15/(1-G15-F15)))</f>
        <v>#N/A</v>
      </c>
      <c r="K25" s="24" t="str">
        <f>IF(AND(OR('仮オッズ'!$B$17='F馬券購入'!B5,'仮オッズ'!$B$18='F馬券購入'!B5,'仮オッズ'!$B$19='F馬券購入'!B5),OR('仮オッズ'!$B$17='F馬券購入'!C5,'仮オッズ'!$B$18='F馬券購入'!C5,'仮オッズ'!$B$19='F馬券購入'!C5),OR('仮オッズ'!$B$17='F馬券購入'!D5,'仮オッズ'!$B$18='F馬券購入'!D5,'仮オッズ'!$B$19='F馬券購入'!D5)),"的中","不的中")</f>
        <v>不的中</v>
      </c>
      <c r="L25" s="28" t="s">
        <v>37</v>
      </c>
      <c r="M25" s="23" t="str">
        <f>1/(F16*(G16*(1-F16))*(H16/(1-F16-G16))+F16*(H16/(1-F16))*(G16/(1-F16-H16))+G16*(F16/(1-G16))*(H16/(1-F16-G16))+G16*(H16/(1-G16))*(F16/(1-G16-H16))+H16*(F16/(1-H16))*(G16/(1-H16-F16))+H16*(G16/(1-H16))*(F16/(1-G16-F16)))</f>
        <v>#N/A</v>
      </c>
      <c r="N25" s="24" t="str">
        <f>IF(AND(OR('仮オッズ'!$B$17='F馬券購入'!B6,'仮オッズ'!$B$18='F馬券購入'!B6,'仮オッズ'!$B$19='F馬券購入'!B6),OR('仮オッズ'!$B$17='F馬券購入'!C6,'仮オッズ'!$B$18='F馬券購入'!C6,'仮オッズ'!$B$19='F馬券購入'!C6),OR('仮オッズ'!$B$17='F馬券購入'!D6,'仮オッズ'!$B$18='F馬券購入'!D6,'仮オッズ'!$B$19='F馬券購入'!D6)),"的中","不的中")</f>
        <v>不的中</v>
      </c>
      <c r="O25" s="28" t="s">
        <v>37</v>
      </c>
      <c r="P25" s="23" t="str">
        <f>1/(F17*(G17*(1-F17))*(H17/(1-F17-G17))+F17*(H17/(1-F17))*(G17/(1-F17-H17))+G17*(F17/(1-G17))*(H17/(1-F17-G17))+G17*(H17/(1-G17))*(F17/(1-G17-H17))+H17*(F17/(1-H17))*(G17/(1-H17-F17))+H17*(G17/(1-H17))*(F17/(1-G17-F17)))</f>
        <v>#N/A</v>
      </c>
      <c r="Q25" s="24" t="str">
        <f>IF(AND(OR('仮オッズ'!$B$17='F馬券購入'!B7,'仮オッズ'!$B$18='F馬券購入'!B7,'仮オッズ'!$B$19='F馬券購入'!B7),OR('仮オッズ'!$B$17='F馬券購入'!C7,'仮オッズ'!$B$18='F馬券購入'!C7,'仮オッズ'!$B$19='F馬券購入'!C7),OR('仮オッズ'!$B$17='F馬券購入'!D7,'仮オッズ'!$B$18='F馬券購入'!D7,'仮オッズ'!$B$19='F馬券購入'!D7)),"的中","不的中")</f>
        <v>不的中</v>
      </c>
    </row>
    <row r="27">
      <c r="B27" s="1" t="s">
        <v>50</v>
      </c>
    </row>
    <row r="28">
      <c r="B28" s="1" t="s">
        <v>51</v>
      </c>
      <c r="C28" s="6" t="str">
        <f>IF('F馬券購入'!B3='仮オッズ'!$B$17,"的中","不的中")</f>
        <v>不的中</v>
      </c>
    </row>
    <row r="29">
      <c r="B29" s="1" t="s">
        <v>52</v>
      </c>
      <c r="C29" s="6" t="str">
        <f>if(AND('F馬券購入'!B3='仮オッズ'!$B$17,'F馬券購入'!C3='仮オッズ'!$B$18,'F馬券購入'!D3='仮オッズ'!$B$19),"的中","不的中")</f>
        <v>不的中</v>
      </c>
    </row>
    <row r="30">
      <c r="B30" s="1" t="s">
        <v>53</v>
      </c>
      <c r="C30" s="6" t="str">
        <f>IF(OR('F馬券購入'!B3='仮オッズ'!$B$17,'F馬券購入'!B3='仮オッズ'!$B$18,'F馬券購入'!B3='仮オッズ'!$B$19),"的中","不的中")</f>
        <v>的中</v>
      </c>
    </row>
    <row r="31">
      <c r="B31" s="1" t="s">
        <v>54</v>
      </c>
      <c r="C31" s="6" t="str">
        <f>IF(AND(OR('仮オッズ'!$B$17='F馬券購入'!B3,'仮オッズ'!$B$18='F馬券購入'!B3,'仮オッズ'!$B$19='F馬券購入'!B3),OR('仮オッズ'!$B$17='F馬券購入'!C3,'仮オッズ'!$B$18='F馬券購入'!C3,'仮オッズ'!$B$19='F馬券購入'!C3),OR('仮オッズ'!$B$17='F馬券購入'!D3,'仮オッズ'!$B$18='F馬券購入'!D3,'仮オッズ'!$B$19='F馬券購入'!D3)),"的中","不的中")</f>
        <v>不的中</v>
      </c>
    </row>
    <row r="34">
      <c r="B34" s="1" t="s">
        <v>43</v>
      </c>
      <c r="C34" s="1" t="s">
        <v>55</v>
      </c>
      <c r="F34" s="1" t="s">
        <v>56</v>
      </c>
    </row>
    <row r="35">
      <c r="A35" s="1" t="s">
        <v>30</v>
      </c>
      <c r="B35" s="6" t="str">
        <f>IFS('F馬券購入'!A3="単勝",$C$28,'F馬券購入'!A3="三連単",$C$29,'F馬券購入'!A3="複勝",$C$30,'F馬券購入'!A3="三連複",$C$31,'F馬券購入'!A3="未選択","×")</f>
        <v>不的中</v>
      </c>
      <c r="C35" s="6">
        <f>IFS(B35="的中",'F馬券購入'!E3*'F馬券購入'!F3,B35="不的中",0,B35="×",0)</f>
        <v>0</v>
      </c>
      <c r="F35" s="29">
        <f>CEILING(SUM(C35:C39),5)</f>
        <v>3360</v>
      </c>
    </row>
    <row r="36">
      <c r="A36" s="1" t="s">
        <v>44</v>
      </c>
      <c r="B36" s="6" t="str">
        <f>IFS('F馬券購入'!A4="単勝",$H$22,'F馬券購入'!A4="三連単",$H$24,'F馬券購入'!A4="複勝",$H$23,'F馬券購入'!A4="三連複",$H$25,'F馬券購入'!A4="未選択","×")</f>
        <v>不的中</v>
      </c>
      <c r="C36" s="6">
        <f>IFS(B36="的中",'F馬券購入'!E4*'F馬券購入'!F4,B36="不的中",0,B36="×",0)</f>
        <v>0</v>
      </c>
    </row>
    <row r="37">
      <c r="A37" s="1" t="s">
        <v>49</v>
      </c>
      <c r="B37" s="6" t="str">
        <f>IFS('F馬券購入'!A5="単勝",$K$22,'F馬券購入'!A5="三連単",$K$24,'F馬券購入'!A5="複勝",$K$23,'F馬券購入'!A5="三連複",$K$25,'F馬券購入'!A5="未選択","×")</f>
        <v>的中</v>
      </c>
      <c r="C37" s="6">
        <f>IFS(B37="的中",'F馬券購入'!E5*'F馬券購入'!F5,B37="不的中",0,B37="×",0)</f>
        <v>3356.559526</v>
      </c>
    </row>
    <row r="38">
      <c r="A38" s="1" t="s">
        <v>47</v>
      </c>
      <c r="B38" s="6" t="str">
        <f>IFS('F馬券購入'!A6="単勝",$N$22,'F馬券購入'!A6="三連単",$N$24,'F馬券購入'!A6="複勝",$N$23,'F馬券購入'!A6="三連複",$N$25,'F馬券購入'!A6="未選択","×")</f>
        <v>不的中</v>
      </c>
      <c r="C38" s="6">
        <f>IFS(B38="的中",'F馬券購入'!E6*'F馬券購入'!F6,B38="不的中",0,B38="×",0)</f>
        <v>0</v>
      </c>
    </row>
    <row r="39">
      <c r="A39" s="1" t="s">
        <v>48</v>
      </c>
      <c r="B39" s="6" t="str">
        <f>IFS('F馬券購入'!A7="単勝",$Q$22,'F馬券購入'!A7="三連単",$Q$24,'F馬券購入'!A7="複勝",$Q$23,'F馬券購入'!A7="三連複",$Q$25,'F馬券購入'!A7="未選択","×")</f>
        <v>×</v>
      </c>
      <c r="C39" s="6">
        <f>IFS(B39="的中",'F馬券購入'!E7*'F馬券購入'!F7,B39="不的中",0,B39="×",0)</f>
        <v>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4" width="19.75"/>
    <col customWidth="1" min="7" max="7" width="12.38"/>
  </cols>
  <sheetData>
    <row r="2" ht="30.75" customHeight="1">
      <c r="A2" s="2" t="s">
        <v>1</v>
      </c>
      <c r="B2" s="4" t="s">
        <v>10</v>
      </c>
      <c r="C2" s="5"/>
      <c r="D2" s="7"/>
      <c r="E2" s="2" t="s">
        <v>11</v>
      </c>
      <c r="F2" s="2" t="s">
        <v>12</v>
      </c>
      <c r="G2" s="2" t="s">
        <v>13</v>
      </c>
      <c r="H2" s="2" t="s">
        <v>14</v>
      </c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30.75" customHeight="1">
      <c r="A3" s="11" t="s">
        <v>3</v>
      </c>
      <c r="B3" s="11" t="s">
        <v>16</v>
      </c>
      <c r="C3" s="11" t="s">
        <v>20</v>
      </c>
      <c r="D3" s="11" t="s">
        <v>20</v>
      </c>
      <c r="E3" s="11">
        <v>500.0</v>
      </c>
      <c r="F3" s="12">
        <f>'⑥の計算式'!D20</f>
        <v>5.714285714</v>
      </c>
      <c r="G3" s="13" t="str">
        <f>IF(COUNTIF('仮オッズ'!$A$17:$B$22,"未選択")&gt;0,"×",'⑥の計算式'!B35)</f>
        <v>不的中</v>
      </c>
      <c r="H3" s="13">
        <f>SUM(E3:E7)</f>
        <v>2430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30.75" customHeight="1">
      <c r="A4" s="11" t="s">
        <v>4</v>
      </c>
      <c r="B4" s="11" t="s">
        <v>19</v>
      </c>
      <c r="C4" s="11" t="s">
        <v>20</v>
      </c>
      <c r="D4" s="11" t="s">
        <v>20</v>
      </c>
      <c r="E4" s="11">
        <v>500.0</v>
      </c>
      <c r="F4" s="12">
        <f>'⑥の計算式'!D21</f>
        <v>13.67229225</v>
      </c>
      <c r="G4" s="13" t="str">
        <f>IF(COUNTIF('仮オッズ'!$A$17:$B$22,"未選択")&gt;0,"×",'⑥の計算式'!B36)</f>
        <v>不的中</v>
      </c>
      <c r="H4" s="19" t="s">
        <v>33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30.75" customHeight="1">
      <c r="A5" s="11" t="s">
        <v>4</v>
      </c>
      <c r="B5" s="11" t="s">
        <v>18</v>
      </c>
      <c r="C5" s="11" t="s">
        <v>32</v>
      </c>
      <c r="D5" s="11" t="s">
        <v>34</v>
      </c>
      <c r="E5" s="11">
        <v>700.0</v>
      </c>
      <c r="F5" s="12">
        <f>'⑥の計算式'!D22</f>
        <v>4.795085038</v>
      </c>
      <c r="G5" s="13" t="str">
        <f>IF(COUNTIF('仮オッズ'!$A$17:$B$22,"未選択")&gt;0,"×",'⑥の計算式'!B37)</f>
        <v>的中</v>
      </c>
      <c r="H5" s="20">
        <f>IF(COUNTIF('仮オッズ'!$B$17:$B$22,"未選択")&gt;0,"×",'⑥の計算式'!F35)</f>
        <v>3360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30.75" customHeight="1">
      <c r="A6" s="11" t="s">
        <v>4</v>
      </c>
      <c r="B6" s="11" t="s">
        <v>9</v>
      </c>
      <c r="C6" s="11" t="s">
        <v>20</v>
      </c>
      <c r="D6" s="11" t="s">
        <v>20</v>
      </c>
      <c r="E6" s="11">
        <v>730.0</v>
      </c>
      <c r="F6" s="12">
        <f>'⑥の計算式'!D23</f>
        <v>1.169184676</v>
      </c>
      <c r="G6" s="13" t="str">
        <f>IF(COUNTIF('仮オッズ'!$A$17:$B$22,"未選択")&gt;0,"×",'⑥の計算式'!B38)</f>
        <v>不的中</v>
      </c>
      <c r="H6" s="19" t="s">
        <v>36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 ht="30.75" customHeight="1">
      <c r="A7" s="11" t="s">
        <v>20</v>
      </c>
      <c r="B7" s="11" t="s">
        <v>20</v>
      </c>
      <c r="C7" s="11" t="s">
        <v>20</v>
      </c>
      <c r="D7" s="11" t="s">
        <v>20</v>
      </c>
      <c r="E7" s="11"/>
      <c r="F7" s="12" t="str">
        <f>'⑥の計算式'!D24</f>
        <v>未選択</v>
      </c>
      <c r="G7" s="13" t="str">
        <f>IF(COUNTIF('仮オッズ'!$A$17:$B$22,"未選択")&gt;0,"×",'⑥の計算式'!B39)</f>
        <v>×</v>
      </c>
      <c r="H7" s="20">
        <f>IF(H5="×","×",H5-H3)</f>
        <v>930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15">
      <c r="D15" s="21"/>
    </row>
  </sheetData>
  <mergeCells count="1">
    <mergeCell ref="B2:D2"/>
  </mergeCells>
  <dataValidations>
    <dataValidation type="list" allowBlank="1" showErrorMessage="1" sqref="A3:A7">
      <formula1>"未選択,単勝,複勝,三連単,三連複"</formula1>
    </dataValidation>
    <dataValidation type="list" allowBlank="1" showErrorMessage="1" sqref="B3:D7">
      <formula1>'仮オッズ'!$A$2:$A$11</formula1>
    </dataValidation>
  </dataValidations>
  <drawing r:id="rId1"/>
</worksheet>
</file>